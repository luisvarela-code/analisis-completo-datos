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 Pavilion\Desktop\analisis_de_datos\ejercicio 3 analisis\aviones\"/>
    </mc:Choice>
  </mc:AlternateContent>
  <bookViews>
    <workbookView xWindow="0" yWindow="0" windowWidth="15360" windowHeight="9060" activeTab="1"/>
  </bookViews>
  <sheets>
    <sheet name="datos" sheetId="1" r:id="rId1"/>
    <sheet name="Hoja2" sheetId="2" r:id="rId2"/>
  </sheets>
  <definedNames>
    <definedName name="_xlnm.Extract" localSheetId="1">Hoja2!$D$2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2" l="1"/>
  <c r="E11" i="2"/>
  <c r="E9" i="2"/>
  <c r="D9" i="2"/>
  <c r="B10" i="2"/>
  <c r="B11" i="2"/>
  <c r="B12" i="2"/>
  <c r="B9" i="2"/>
  <c r="B3" i="2"/>
  <c r="F3" i="2"/>
  <c r="F4" i="2"/>
  <c r="F5" i="2"/>
  <c r="F2" i="2"/>
  <c r="E3" i="2"/>
  <c r="E4" i="2"/>
  <c r="E5" i="2"/>
  <c r="E2" i="2"/>
  <c r="D2" i="2"/>
  <c r="B5" i="2"/>
  <c r="B4" i="2"/>
  <c r="B2" i="2"/>
</calcChain>
</file>

<file path=xl/sharedStrings.xml><?xml version="1.0" encoding="utf-8"?>
<sst xmlns="http://schemas.openxmlformats.org/spreadsheetml/2006/main" count="1832" uniqueCount="336">
  <si>
    <t>flight_id</t>
  </si>
  <si>
    <t>airline</t>
  </si>
  <si>
    <t>origin</t>
  </si>
  <si>
    <t>destination</t>
  </si>
  <si>
    <t>departure_time</t>
  </si>
  <si>
    <t>arrival_time</t>
  </si>
  <si>
    <t>delay_minutes</t>
  </si>
  <si>
    <t>status</t>
  </si>
  <si>
    <t>ticket_price</t>
  </si>
  <si>
    <t>aircraft_type</t>
  </si>
  <si>
    <t>F0001</t>
  </si>
  <si>
    <t>VivaFly</t>
  </si>
  <si>
    <t>QRO</t>
  </si>
  <si>
    <t>CDMX</t>
  </si>
  <si>
    <t>Cancelled</t>
  </si>
  <si>
    <t>A320</t>
  </si>
  <si>
    <t>F0002</t>
  </si>
  <si>
    <t>AeroMX</t>
  </si>
  <si>
    <t>TIJ</t>
  </si>
  <si>
    <t>CUN</t>
  </si>
  <si>
    <t>B737</t>
  </si>
  <si>
    <t>F0003</t>
  </si>
  <si>
    <t>GlobalAir</t>
  </si>
  <si>
    <t>Delayed</t>
  </si>
  <si>
    <t>E190</t>
  </si>
  <si>
    <t>F0004</t>
  </si>
  <si>
    <t>GDL</t>
  </si>
  <si>
    <t>A321</t>
  </si>
  <si>
    <t>F0005</t>
  </si>
  <si>
    <t>On Time</t>
  </si>
  <si>
    <t>F0006</t>
  </si>
  <si>
    <t>F0007</t>
  </si>
  <si>
    <t>F0008</t>
  </si>
  <si>
    <t>F0009</t>
  </si>
  <si>
    <t>MTY</t>
  </si>
  <si>
    <t>F0010</t>
  </si>
  <si>
    <t>F0011</t>
  </si>
  <si>
    <t>F0012</t>
  </si>
  <si>
    <t>F0013</t>
  </si>
  <si>
    <t>SkyJet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</si>
  <si>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</si>
  <si>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</si>
  <si>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</si>
  <si>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</si>
  <si>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</si>
  <si>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</si>
  <si>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</si>
  <si>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</si>
  <si>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</si>
  <si>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</si>
  <si>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</si>
  <si>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</si>
  <si>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</si>
  <si>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</si>
  <si>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</si>
  <si>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</si>
  <si>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</si>
  <si>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</si>
  <si>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</si>
  <si>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</si>
  <si>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</si>
  <si>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</si>
  <si>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</si>
  <si>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</si>
  <si>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</si>
  <si>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</si>
  <si>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</si>
  <si>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</si>
  <si>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</si>
  <si>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</si>
  <si>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</si>
  <si>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</si>
  <si>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</si>
  <si>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</si>
  <si>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</si>
  <si>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</si>
  <si>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</si>
  <si>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</si>
  <si>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</si>
  <si>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</si>
  <si>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</si>
  <si>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</si>
  <si>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</si>
  <si>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</si>
  <si>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</si>
  <si>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</si>
  <si>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</si>
  <si>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</si>
  <si>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</si>
  <si>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</si>
  <si>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</si>
  <si>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</si>
  <si>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</si>
  <si>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</si>
  <si>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</si>
  <si>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</si>
  <si>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</si>
  <si>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</si>
  <si>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</si>
  <si>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</si>
  <si>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</si>
  <si>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</si>
  <si>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</si>
  <si>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</si>
  <si>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</si>
  <si>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</si>
  <si>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</si>
  <si>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</si>
  <si>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</si>
  <si>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</si>
  <si>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</si>
  <si>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</si>
  <si>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</si>
  <si>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</si>
  <si>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</si>
  <si>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</si>
  <si>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</si>
  <si>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</si>
  <si>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</si>
  <si>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</si>
  <si>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</si>
  <si>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</si>
  <si>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</si>
  <si>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</si>
  <si>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</si>
  <si>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</si>
  <si>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</si>
  <si>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</si>
  <si>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</si>
  <si>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</si>
  <si>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</si>
  <si>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</si>
  <si>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</si>
  <si>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</si>
  <si>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</si>
  <si>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</si>
  <si>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</si>
  <si>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</si>
  <si>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</si>
  <si>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</si>
  <si>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</si>
  <si>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</si>
  <si>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</si>
  <si>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</si>
  <si>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</si>
  <si>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</si>
  <si>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</si>
  <si>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</si>
  <si>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</si>
  <si>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</si>
  <si>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</si>
  <si>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</si>
  <si>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</si>
  <si>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</si>
  <si>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</si>
  <si>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</si>
  <si>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</si>
  <si>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</si>
  <si>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</si>
  <si>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</si>
  <si>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F0134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</si>
  <si>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</si>
  <si>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</si>
  <si>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</si>
  <si>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</si>
  <si>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</si>
  <si>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</si>
  <si>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</si>
  <si>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</si>
  <si>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</si>
  <si>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</si>
  <si>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</si>
  <si>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</si>
  <si>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</si>
  <si>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</si>
  <si>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</si>
  <si>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</si>
  <si>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</si>
  <si>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</si>
  <si>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</si>
  <si>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</si>
  <si>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</si>
  <si>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</si>
  <si>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</si>
  <si>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</si>
  <si>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</si>
  <si>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</si>
  <si>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</si>
  <si>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</si>
  <si>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</si>
  <si>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</si>
  <si>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</si>
  <si>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</si>
  <si>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</si>
  <si>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</si>
  <si>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</si>
  <si>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</si>
  <si>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</si>
  <si>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</si>
  <si>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</si>
  <si>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</si>
  <si>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</si>
  <si>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</si>
  <si>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</si>
  <si>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</si>
  <si>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</si>
  <si>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</si>
  <si>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</si>
  <si>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</si>
  <si>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</si>
  <si>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</si>
  <si>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</si>
  <si>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</si>
  <si>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</si>
  <si>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</si>
  <si>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F0189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</si>
  <si>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</si>
  <si>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</si>
  <si>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</si>
  <si>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</si>
  <si>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</si>
  <si>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</si>
  <si>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</si>
  <si>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</si>
  <si>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</si>
  <si>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</si>
  <si>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</si>
  <si>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</si>
  <si>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</si>
  <si>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</si>
  <si>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</si>
  <si>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</si>
  <si>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</si>
  <si>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</si>
  <si>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</si>
  <si>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</si>
  <si>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</si>
  <si>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</si>
  <si>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</si>
  <si>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</si>
  <si>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</si>
  <si>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</si>
  <si>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</si>
  <si>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</si>
  <si>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</si>
  <si>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</si>
  <si>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</si>
  <si>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</si>
  <si>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</si>
  <si>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</si>
  <si>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</si>
  <si>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</si>
  <si>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</si>
  <si>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</si>
  <si>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</si>
  <si>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</si>
  <si>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</si>
  <si>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</si>
  <si>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</si>
  <si>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</si>
  <si>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</si>
  <si>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</si>
  <si>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</si>
  <si>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</si>
  <si>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</si>
  <si>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</si>
  <si>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</si>
  <si>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</si>
  <si>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</si>
  <si>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</si>
  <si>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</si>
  <si>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</si>
  <si>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</si>
  <si>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</si>
  <si>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</si>
  <si>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</si>
  <si>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</si>
  <si>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</si>
  <si>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</si>
  <si>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</si>
  <si>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</si>
  <si>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</si>
  <si>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</si>
  <si>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</si>
  <si>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</si>
  <si>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</si>
  <si>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</si>
  <si>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</si>
  <si>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</si>
  <si>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</si>
  <si>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</si>
  <si>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</si>
  <si>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</si>
  <si>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</si>
  <si>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</si>
  <si>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</si>
  <si>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F0270</t>
  </si>
  <si>
    <t>F0271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</si>
  <si>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</si>
  <si>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</si>
  <si>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</si>
  <si>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</si>
  <si>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</si>
  <si>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</si>
  <si>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</si>
  <si>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</si>
  <si>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</si>
  <si>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</si>
  <si>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</si>
  <si>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</si>
  <si>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</si>
  <si>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</si>
  <si>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</si>
  <si>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</si>
  <si>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</si>
  <si>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</si>
  <si>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</si>
  <si>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</si>
  <si>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</si>
  <si>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</si>
  <si>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</si>
  <si>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</si>
  <si>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</si>
  <si>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</si>
  <si>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</si>
  <si>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</si>
  <si>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</si>
  <si>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AEROLINEA</t>
  </si>
  <si>
    <t>TOTAL DE VUELOS</t>
  </si>
  <si>
    <t>VUELOS CANCELADOS</t>
  </si>
  <si>
    <t>TOTAL DE PERDIDAS</t>
  </si>
  <si>
    <t>Aerolinea</t>
  </si>
  <si>
    <t xml:space="preserve">voletos vendidos </t>
  </si>
  <si>
    <t>AERLINEA CON EL BOLETO MAS CARO</t>
  </si>
  <si>
    <t>AEROLINEA CON EL BOLETO MAS BARATO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</si>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</sst>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2">
    <dxf>
      <numFmt numFmtId="25" formatCode="hh:mm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Hoja2!$B$1</c:f>
              <c:strCache>
                <c:ptCount val="1"/>
                <c:pt idx="0">
                  <c:v>TOTAL DE VUELOS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Hoja2!$A$2:$A$5</c:f>
              <c:strCache>
                <c:ptCount val="4"/>
                <c:pt idx="0">
                  <c:v>VivaFly</c:v>
                </c:pt>
                <c:pt idx="1">
                  <c:v>AeroMX</c:v>
                </c:pt>
                <c:pt idx="2">
                  <c:v>GlobalAir</c:v>
                </c:pt>
                <c:pt idx="3">
                  <c:v>SkyJet</c:v>
                </c:pt>
              </c:strCache>
            </c:strRef>
          </c:cat>
          <c:val>
            <c:numRef>
              <c:f>Hoja2!$B$2:$B$5</c:f>
              <c:numCache>
                <c:formatCode>General</c:formatCode>
                <c:ptCount val="4"/>
                <c:pt idx="0">
                  <c:v>84</c:v>
                </c:pt>
                <c:pt idx="1">
                  <c:v>61</c:v>
                </c:pt>
                <c:pt idx="2">
                  <c:v>85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A-4D52-B3B3-95C6BDBAD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Hoja2!$E$1</c:f>
              <c:strCache>
                <c:ptCount val="1"/>
                <c:pt idx="0">
                  <c:v>VUELOS CANCELADOS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Hoja2!$D$2:$D$5</c:f>
              <c:strCache>
                <c:ptCount val="4"/>
                <c:pt idx="0">
                  <c:v>VivaFly</c:v>
                </c:pt>
                <c:pt idx="1">
                  <c:v>AeroMX</c:v>
                </c:pt>
                <c:pt idx="2">
                  <c:v>GlobalAir</c:v>
                </c:pt>
                <c:pt idx="3">
                  <c:v>SkyJet</c:v>
                </c:pt>
              </c:strCache>
            </c:strRef>
          </c:cat>
          <c:val>
            <c:numRef>
              <c:f>Hoja2!$E$2:$E$5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7-405E-BD62-A3F57F4F7F52}"/>
            </c:ext>
          </c:extLst>
        </c:ser>
        <c:ser>
          <c:idx val="1"/>
          <c:order val="1"/>
          <c:tx>
            <c:strRef>
              <c:f>Hoja2!$F$1</c:f>
              <c:strCache>
                <c:ptCount val="1"/>
                <c:pt idx="0">
                  <c:v>TOTAL DE PERDIDAS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Hoja2!$D$2:$D$5</c:f>
              <c:strCache>
                <c:ptCount val="4"/>
                <c:pt idx="0">
                  <c:v>VivaFly</c:v>
                </c:pt>
                <c:pt idx="1">
                  <c:v>AeroMX</c:v>
                </c:pt>
                <c:pt idx="2">
                  <c:v>GlobalAir</c:v>
                </c:pt>
                <c:pt idx="3">
                  <c:v>SkyJet</c:v>
                </c:pt>
              </c:strCache>
            </c:strRef>
          </c:cat>
          <c:val>
            <c:numRef>
              <c:f>Hoja2!$F$2:$F$5</c:f>
              <c:numCache>
                <c:formatCode>General</c:formatCode>
                <c:ptCount val="4"/>
                <c:pt idx="0">
                  <c:v>9244</c:v>
                </c:pt>
                <c:pt idx="1">
                  <c:v>9394</c:v>
                </c:pt>
                <c:pt idx="2">
                  <c:v>8271</c:v>
                </c:pt>
                <c:pt idx="3">
                  <c:v>16902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F7-405E-BD62-A3F57F4F7F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516618376"/>
        <c:axId val="516608536"/>
        <c:axId val="0"/>
      </c:bar3DChart>
      <c:catAx>
        <c:axId val="51661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16608536"/>
        <c:crosses val="autoZero"/>
        <c:auto val="1"/>
        <c:lblAlgn val="ctr"/>
        <c:lblOffset val="100"/>
        <c:noMultiLvlLbl val="0"/>
      </c:catAx>
      <c:valAx>
        <c:axId val="516608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6618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Hoja2!$B$8</c:f>
              <c:strCache>
                <c:ptCount val="1"/>
                <c:pt idx="0">
                  <c:v>voletos vendidos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Hoja2!$A$9:$A$12</c:f>
              <c:strCache>
                <c:ptCount val="4"/>
                <c:pt idx="0">
                  <c:v>VivaFly</c:v>
                </c:pt>
                <c:pt idx="1">
                  <c:v>AeroMX</c:v>
                </c:pt>
                <c:pt idx="2">
                  <c:v>GlobalAir</c:v>
                </c:pt>
                <c:pt idx="3">
                  <c:v>SkyJet</c:v>
                </c:pt>
              </c:strCache>
            </c:strRef>
          </c:cat>
          <c:val>
            <c:numRef>
              <c:f>Hoja2!$B$9:$B$12</c:f>
              <c:numCache>
                <c:formatCode>General</c:formatCode>
                <c:ptCount val="4"/>
                <c:pt idx="0">
                  <c:v>308450</c:v>
                </c:pt>
                <c:pt idx="1">
                  <c:v>232913</c:v>
                </c:pt>
                <c:pt idx="2">
                  <c:v>294848</c:v>
                </c:pt>
                <c:pt idx="3">
                  <c:v>245781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DF-46CA-924B-CF7B1728A0A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5583624"/>
        <c:axId val="395589528"/>
      </c:lineChart>
      <c:catAx>
        <c:axId val="39558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5589528"/>
        <c:crosses val="autoZero"/>
        <c:auto val="1"/>
        <c:lblAlgn val="ctr"/>
        <c:lblOffset val="100"/>
        <c:noMultiLvlLbl val="0"/>
      </c:catAx>
      <c:valAx>
        <c:axId val="395589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5583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76200</xdr:rowOff>
    </xdr:from>
    <xdr:to>
      <xdr:col>3</xdr:col>
      <xdr:colOff>1676400</xdr:colOff>
      <xdr:row>27</xdr:row>
      <xdr:rowOff>152400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1952625</xdr:colOff>
      <xdr:row>13</xdr:row>
      <xdr:rowOff>57150</xdr:rowOff>
    </xdr:from>
    <xdr:to>
      <xdr:col>7</xdr:col>
      <xdr:colOff>228600</xdr:colOff>
      <xdr:row>27</xdr:row>
      <xdr:rowOff>133350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104775</xdr:colOff>
      <xdr:row>28</xdr:row>
      <xdr:rowOff>133350</xdr:rowOff>
    </xdr:from>
    <xdr:to>
      <xdr:col>3</xdr:col>
      <xdr:colOff>1781175</xdr:colOff>
      <xdr:row>43</xdr:row>
      <xdr:rowOff>19050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a2" displayName="Tabla2" ref="A1:J301" totalsRowShown="0">
  <autoFilter ref="A1:J301"/>
  <tableColumns count="10">
    <tableColumn id="1" name="flight_id"/>
    <tableColumn id="2" name="airline"/>
    <tableColumn id="3" name="origin"/>
    <tableColumn id="4" name="destination"/>
    <tableColumn id="5" name="departure_time" dataDxfId="1"/>
    <tableColumn id="6" name="arrival_time" dataDxfId="0"/>
    <tableColumn id="7" name="delay_minutes"/>
    <tableColumn id="8" name="status"/>
    <tableColumn id="9" name="ticket_price"/>
    <tableColumn id="10" name="aircraft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A1:B5" totalsRowShown="0">
  <tableColumns count="2">
    <tableColumn id="1" name="AEROLINEA"/>
    <tableColumn id="2" name="TOTAL DE VUEL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a4" displayName="Tabla4" ref="D1:F5" totalsRowShown="0">
  <autoFilter ref="D1:F5"/>
  <tableColumns count="3">
    <tableColumn id="1" name="AEROLINEA"/>
    <tableColumn id="2" name="VUELOS CANCELADOS">
      <calculatedColumnFormula>COUNTIFS(datos!$B:$B, $A2, datos!$H:$H, "Cancelled")</calculatedColumnFormula>
    </tableColumn>
    <tableColumn id="3" name="TOTAL DE PERDIDAS">
      <calculatedColumnFormula>SUMIFS(datos!$I:$I, datos!$B:$B, $A2, datos!$H:$H, "Cancelled")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a6" displayName="Tabla6" ref="A8:B12" totalsRowShown="0">
  <autoFilter ref="A8:B12"/>
  <tableColumns count="2">
    <tableColumn id="1" name="Aerolinea"/>
    <tableColumn id="2" name="voletos vendidos ">
      <calculatedColumnFormula>SUMIF(datos!$B$2:$B$301, $A2, datos!$I$2:$I$301)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Tabla7" displayName="Tabla7" ref="D8:E9" totalsRowShown="0">
  <autoFilter ref="D8:E9"/>
  <tableColumns count="2">
    <tableColumn id="1" name="AERLINEA CON EL BOLETO MAS CARO">
      <calculatedColumnFormula>LOOKUP(MAX(datos!I:I),datos!I:I,datos!B:B)</calculatedColumnFormula>
    </tableColumn>
    <tableColumn id="2" name="PRECIO">
      <calculatedColumnFormula>MAX(datos!I:I)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la8" displayName="Tabla8" ref="D10:E11" totalsRowShown="0">
  <autoFilter ref="D10:E11"/>
  <tableColumns count="2">
    <tableColumn id="1" name="AEROLINEA CON EL BOLETO MAS BARATO">
      <calculatedColumnFormula>INDEX(datos!B:B, MATCH(MIN(datos!I:I), datos!I:I, 0))</calculatedColumnFormula>
    </tableColumn>
    <tableColumn id="2" name="PRECIO">
      <calculatedColumnFormula>MIN(datos!I:I)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301"/>
  <sheetViews>
    <sheetView topLeftCell="A2" workbookViewId="0">
      <selection activeCell="B22" sqref="B22"/>
    </sheetView>
  </sheetViews>
  <sheetFormatPr baseColWidth="10" defaultRowHeight="15" x14ac:dyDescent="0.25"/>
  <cols>
    <col min="1" max="1" width="10.7109375" bestFit="1" customWidth="1"/>
    <col min="2" max="2" width="9.28515625" bestFit="1" customWidth="1"/>
    <col min="3" max="3" width="8.42578125" bestFit="1" customWidth="1"/>
    <col min="4" max="4" width="13.42578125" bestFit="1" customWidth="1"/>
    <col min="5" max="5" width="17.28515625" bestFit="1" customWidth="1"/>
    <col min="6" max="6" width="14" bestFit="1" customWidth="1"/>
    <col min="7" max="7" width="16.42578125" bestFit="1" customWidth="1"/>
    <col min="8" max="8" width="9.7109375" bestFit="1" customWidth="1"/>
    <col min="9" max="9" width="13.7109375" bestFit="1" customWidth="1"/>
    <col min="10" max="10" width="14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1">
        <v>0.30138888888888887</v>
      </c>
      <c r="F2" s="1">
        <v>0.19930555555555554</v>
      </c>
      <c r="G2">
        <v>0</v>
      </c>
      <c r="H2" t="s">
        <v>14</v>
      </c>
      <c r="I2">
        <v>2039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 s="1">
        <v>0.25972222222222224</v>
      </c>
      <c r="F3" s="1">
        <v>0.69305555555555554</v>
      </c>
      <c r="G3">
        <v>0</v>
      </c>
      <c r="H3" t="s">
        <v>14</v>
      </c>
      <c r="I3">
        <v>1417</v>
      </c>
      <c r="J3" t="s">
        <v>20</v>
      </c>
    </row>
    <row r="4" spans="1:10" x14ac:dyDescent="0.25">
      <c r="A4" t="s">
        <v>21</v>
      </c>
      <c r="B4" t="s">
        <v>22</v>
      </c>
      <c r="C4" t="s">
        <v>12</v>
      </c>
      <c r="D4" t="s">
        <v>18</v>
      </c>
      <c r="E4" s="1">
        <v>0.76180555555555562</v>
      </c>
      <c r="F4" s="1">
        <v>3.3333333333333333E-2</v>
      </c>
      <c r="G4">
        <v>55</v>
      </c>
      <c r="H4" t="s">
        <v>23</v>
      </c>
      <c r="I4">
        <v>2507</v>
      </c>
      <c r="J4" t="s">
        <v>24</v>
      </c>
    </row>
    <row r="5" spans="1:10" x14ac:dyDescent="0.25">
      <c r="A5" t="s">
        <v>25</v>
      </c>
      <c r="B5" t="s">
        <v>11</v>
      </c>
      <c r="C5" t="s">
        <v>26</v>
      </c>
      <c r="D5" t="s">
        <v>19</v>
      </c>
      <c r="E5" s="1">
        <v>0.12847222222222224</v>
      </c>
      <c r="F5" s="1">
        <v>0.50416666666666665</v>
      </c>
      <c r="G5">
        <v>90</v>
      </c>
      <c r="H5" t="s">
        <v>23</v>
      </c>
      <c r="I5">
        <v>4140</v>
      </c>
      <c r="J5" t="s">
        <v>27</v>
      </c>
    </row>
    <row r="6" spans="1:10" x14ac:dyDescent="0.25">
      <c r="A6" t="s">
        <v>28</v>
      </c>
      <c r="B6" t="s">
        <v>22</v>
      </c>
      <c r="C6" t="s">
        <v>18</v>
      </c>
      <c r="D6" t="s">
        <v>26</v>
      </c>
      <c r="E6" s="1">
        <v>0.71319444444444446</v>
      </c>
      <c r="F6" s="1">
        <v>0.50347222222222221</v>
      </c>
      <c r="G6">
        <v>20</v>
      </c>
      <c r="H6" t="s">
        <v>29</v>
      </c>
      <c r="I6">
        <v>5722</v>
      </c>
      <c r="J6" t="s">
        <v>27</v>
      </c>
    </row>
    <row r="7" spans="1:10" x14ac:dyDescent="0.25">
      <c r="A7" t="s">
        <v>30</v>
      </c>
      <c r="B7" t="s">
        <v>11</v>
      </c>
      <c r="C7" t="s">
        <v>12</v>
      </c>
      <c r="D7" t="s">
        <v>18</v>
      </c>
      <c r="E7" s="1">
        <v>0.7583333333333333</v>
      </c>
      <c r="F7" s="1">
        <v>0.9194444444444444</v>
      </c>
      <c r="G7">
        <v>20</v>
      </c>
      <c r="H7" t="s">
        <v>29</v>
      </c>
      <c r="I7">
        <v>1575</v>
      </c>
      <c r="J7" t="s">
        <v>20</v>
      </c>
    </row>
    <row r="8" spans="1:10" x14ac:dyDescent="0.25">
      <c r="A8" t="s">
        <v>31</v>
      </c>
      <c r="B8" t="s">
        <v>17</v>
      </c>
      <c r="C8" t="s">
        <v>26</v>
      </c>
      <c r="D8" t="s">
        <v>13</v>
      </c>
      <c r="E8" s="1">
        <v>0.51180555555555551</v>
      </c>
      <c r="F8" s="1">
        <v>0.61111111111111105</v>
      </c>
      <c r="G8">
        <v>93</v>
      </c>
      <c r="H8" t="s">
        <v>23</v>
      </c>
      <c r="I8">
        <v>4188</v>
      </c>
      <c r="J8" t="s">
        <v>20</v>
      </c>
    </row>
    <row r="9" spans="1:10" x14ac:dyDescent="0.25">
      <c r="A9" t="s">
        <v>32</v>
      </c>
      <c r="B9" t="s">
        <v>11</v>
      </c>
      <c r="C9" t="s">
        <v>26</v>
      </c>
      <c r="D9" t="s">
        <v>19</v>
      </c>
      <c r="E9" s="1">
        <v>0.95763888888888893</v>
      </c>
      <c r="F9" s="1">
        <v>0.90347222222222223</v>
      </c>
      <c r="G9">
        <v>60</v>
      </c>
      <c r="H9" t="s">
        <v>23</v>
      </c>
      <c r="I9">
        <v>1784</v>
      </c>
      <c r="J9" t="s">
        <v>20</v>
      </c>
    </row>
    <row r="10" spans="1:10" x14ac:dyDescent="0.25">
      <c r="A10" t="s">
        <v>33</v>
      </c>
      <c r="B10" t="s">
        <v>22</v>
      </c>
      <c r="C10" t="s">
        <v>18</v>
      </c>
      <c r="D10" t="s">
        <v>34</v>
      </c>
      <c r="E10" s="1">
        <v>0.3743055555555555</v>
      </c>
      <c r="F10" s="1">
        <v>0.86388888888888893</v>
      </c>
      <c r="G10">
        <v>11</v>
      </c>
      <c r="H10" t="s">
        <v>29</v>
      </c>
      <c r="I10">
        <v>5762</v>
      </c>
      <c r="J10" t="s">
        <v>20</v>
      </c>
    </row>
    <row r="11" spans="1:10" x14ac:dyDescent="0.25">
      <c r="A11" t="s">
        <v>35</v>
      </c>
      <c r="B11" t="s">
        <v>17</v>
      </c>
      <c r="C11" t="s">
        <v>12</v>
      </c>
      <c r="D11" t="s">
        <v>26</v>
      </c>
      <c r="E11" s="1">
        <v>0.32777777777777778</v>
      </c>
      <c r="F11" s="1">
        <v>7.7083333333333337E-2</v>
      </c>
      <c r="G11">
        <v>51</v>
      </c>
      <c r="H11" t="s">
        <v>23</v>
      </c>
      <c r="I11">
        <v>3784</v>
      </c>
      <c r="J11" t="s">
        <v>24</v>
      </c>
    </row>
    <row r="12" spans="1:10" x14ac:dyDescent="0.25">
      <c r="A12" t="s">
        <v>36</v>
      </c>
      <c r="B12" t="s">
        <v>11</v>
      </c>
      <c r="C12" t="s">
        <v>26</v>
      </c>
      <c r="D12" t="s">
        <v>13</v>
      </c>
      <c r="E12" s="1">
        <v>0.27847222222222223</v>
      </c>
      <c r="F12" s="1">
        <v>0.64236111111111105</v>
      </c>
      <c r="G12">
        <v>11</v>
      </c>
      <c r="H12" t="s">
        <v>29</v>
      </c>
      <c r="I12">
        <v>4958</v>
      </c>
      <c r="J12" t="s">
        <v>20</v>
      </c>
    </row>
    <row r="13" spans="1:10" x14ac:dyDescent="0.25">
      <c r="A13" t="s">
        <v>37</v>
      </c>
      <c r="B13" t="s">
        <v>11</v>
      </c>
      <c r="C13" t="s">
        <v>26</v>
      </c>
      <c r="D13" t="s">
        <v>34</v>
      </c>
      <c r="E13" s="1">
        <v>0.98402777777777783</v>
      </c>
      <c r="F13" s="1">
        <v>0.58124999999999993</v>
      </c>
      <c r="G13">
        <v>11</v>
      </c>
      <c r="H13" t="s">
        <v>29</v>
      </c>
      <c r="I13">
        <v>5980</v>
      </c>
      <c r="J13" t="s">
        <v>24</v>
      </c>
    </row>
    <row r="14" spans="1:10" x14ac:dyDescent="0.25">
      <c r="A14" t="s">
        <v>38</v>
      </c>
      <c r="B14" t="s">
        <v>39</v>
      </c>
      <c r="C14" t="s">
        <v>26</v>
      </c>
      <c r="D14" t="s">
        <v>34</v>
      </c>
      <c r="E14" s="1">
        <v>0.68819444444444444</v>
      </c>
      <c r="F14" s="1">
        <v>0.11666666666666665</v>
      </c>
      <c r="G14">
        <v>39</v>
      </c>
      <c r="H14" t="s">
        <v>23</v>
      </c>
      <c r="I14">
        <v>1585</v>
      </c>
      <c r="J14" t="s">
        <v>15</v>
      </c>
    </row>
    <row r="15" spans="1:10" x14ac:dyDescent="0.25">
      <c r="A15" t="s">
        <v>40</v>
      </c>
      <c r="B15" t="s">
        <v>22</v>
      </c>
      <c r="C15" t="s">
        <v>34</v>
      </c>
      <c r="D15" t="s">
        <v>26</v>
      </c>
      <c r="E15" s="1">
        <v>0.7944444444444444</v>
      </c>
      <c r="F15" s="1">
        <v>0.51666666666666672</v>
      </c>
      <c r="G15">
        <v>0</v>
      </c>
      <c r="H15" t="s">
        <v>29</v>
      </c>
      <c r="I15">
        <v>5034</v>
      </c>
      <c r="J15" t="s">
        <v>27</v>
      </c>
    </row>
    <row r="16" spans="1:10" x14ac:dyDescent="0.25">
      <c r="A16" t="s">
        <v>41</v>
      </c>
      <c r="B16" t="s">
        <v>17</v>
      </c>
      <c r="C16" t="s">
        <v>18</v>
      </c>
      <c r="D16" t="s">
        <v>13</v>
      </c>
      <c r="E16" s="1">
        <v>0.91388888888888886</v>
      </c>
      <c r="F16" s="1">
        <v>0.7416666666666667</v>
      </c>
      <c r="G16">
        <v>0</v>
      </c>
      <c r="H16" t="s">
        <v>29</v>
      </c>
      <c r="I16">
        <v>3385</v>
      </c>
      <c r="J16" t="s">
        <v>27</v>
      </c>
    </row>
    <row r="17" spans="1:10" x14ac:dyDescent="0.25">
      <c r="A17" t="s">
        <v>42</v>
      </c>
      <c r="B17" t="s">
        <v>22</v>
      </c>
      <c r="C17" t="s">
        <v>13</v>
      </c>
      <c r="D17" t="s">
        <v>19</v>
      </c>
      <c r="E17" s="1">
        <v>3.1944444444444449E-2</v>
      </c>
      <c r="F17" s="1">
        <v>0.96944444444444444</v>
      </c>
      <c r="G17">
        <v>7</v>
      </c>
      <c r="H17" t="s">
        <v>29</v>
      </c>
      <c r="I17">
        <v>5300</v>
      </c>
      <c r="J17" t="s">
        <v>20</v>
      </c>
    </row>
    <row r="18" spans="1:10" x14ac:dyDescent="0.25">
      <c r="A18" t="s">
        <v>43</v>
      </c>
      <c r="B18" t="s">
        <v>11</v>
      </c>
      <c r="C18" t="s">
        <v>18</v>
      </c>
      <c r="D18" t="s">
        <v>13</v>
      </c>
      <c r="E18" s="1">
        <v>0.85555555555555562</v>
      </c>
      <c r="F18" s="1">
        <v>0.79999999999999993</v>
      </c>
      <c r="G18">
        <v>0</v>
      </c>
      <c r="H18" t="s">
        <v>29</v>
      </c>
      <c r="I18">
        <v>2452</v>
      </c>
      <c r="J18" t="s">
        <v>27</v>
      </c>
    </row>
    <row r="19" spans="1:10" x14ac:dyDescent="0.25">
      <c r="A19" t="s">
        <v>44</v>
      </c>
      <c r="B19" t="s">
        <v>17</v>
      </c>
      <c r="C19" t="s">
        <v>34</v>
      </c>
      <c r="D19" t="s">
        <v>12</v>
      </c>
      <c r="E19" s="1">
        <v>0.80555555555555547</v>
      </c>
      <c r="F19" s="1">
        <v>0.62569444444444444</v>
      </c>
      <c r="G19">
        <v>42</v>
      </c>
      <c r="H19" t="s">
        <v>23</v>
      </c>
      <c r="I19">
        <v>2116</v>
      </c>
      <c r="J19" t="s">
        <v>27</v>
      </c>
    </row>
    <row r="20" spans="1:10" x14ac:dyDescent="0.25">
      <c r="A20" t="s">
        <v>45</v>
      </c>
      <c r="B20" t="s">
        <v>17</v>
      </c>
      <c r="C20" t="s">
        <v>26</v>
      </c>
      <c r="D20" t="s">
        <v>34</v>
      </c>
      <c r="E20" s="1">
        <v>0.11527777777777777</v>
      </c>
      <c r="F20" s="1">
        <v>0.66111111111111109</v>
      </c>
      <c r="G20">
        <v>0</v>
      </c>
      <c r="H20" t="s">
        <v>29</v>
      </c>
      <c r="I20">
        <v>1766</v>
      </c>
      <c r="J20" t="s">
        <v>20</v>
      </c>
    </row>
    <row r="21" spans="1:10" x14ac:dyDescent="0.25">
      <c r="A21" t="s">
        <v>46</v>
      </c>
      <c r="B21" t="s">
        <v>39</v>
      </c>
      <c r="C21" t="s">
        <v>34</v>
      </c>
      <c r="D21" t="s">
        <v>18</v>
      </c>
      <c r="E21" s="1">
        <v>0.35625000000000001</v>
      </c>
      <c r="F21" s="1">
        <v>0.81041666666666667</v>
      </c>
      <c r="G21">
        <v>0</v>
      </c>
      <c r="H21" t="s">
        <v>29</v>
      </c>
      <c r="I21">
        <v>2935</v>
      </c>
      <c r="J21" t="s">
        <v>20</v>
      </c>
    </row>
    <row r="22" spans="1:10" x14ac:dyDescent="0.25">
      <c r="A22" t="s">
        <v>47</v>
      </c>
      <c r="B22" t="s">
        <v>11</v>
      </c>
      <c r="C22" t="s">
        <v>12</v>
      </c>
      <c r="D22" t="s">
        <v>26</v>
      </c>
      <c r="E22" s="1">
        <v>0.62291666666666667</v>
      </c>
      <c r="F22" s="1">
        <v>0.68611111111111101</v>
      </c>
      <c r="G22">
        <v>88</v>
      </c>
      <c r="H22" t="s">
        <v>23</v>
      </c>
      <c r="I22">
        <v>2191</v>
      </c>
      <c r="J22" t="s">
        <v>20</v>
      </c>
    </row>
    <row r="23" spans="1:10" x14ac:dyDescent="0.25">
      <c r="A23" t="s">
        <v>48</v>
      </c>
      <c r="B23" t="s">
        <v>39</v>
      </c>
      <c r="C23" t="s">
        <v>34</v>
      </c>
      <c r="D23" t="s">
        <v>13</v>
      </c>
      <c r="E23" s="1">
        <v>0.7597222222222223</v>
      </c>
      <c r="F23" s="1">
        <v>2.7777777777777779E-3</v>
      </c>
      <c r="G23">
        <v>20</v>
      </c>
      <c r="H23" t="s">
        <v>29</v>
      </c>
      <c r="I23">
        <v>1682</v>
      </c>
      <c r="J23" t="s">
        <v>20</v>
      </c>
    </row>
    <row r="24" spans="1:10" x14ac:dyDescent="0.25">
      <c r="A24" t="s">
        <v>49</v>
      </c>
      <c r="B24" t="s">
        <v>17</v>
      </c>
      <c r="C24" t="s">
        <v>13</v>
      </c>
      <c r="D24" t="s">
        <v>34</v>
      </c>
      <c r="E24" s="1">
        <v>0.67708333333333337</v>
      </c>
      <c r="F24" s="1">
        <v>0.36249999999999999</v>
      </c>
      <c r="G24">
        <v>32</v>
      </c>
      <c r="H24" t="s">
        <v>23</v>
      </c>
      <c r="I24">
        <v>5176</v>
      </c>
      <c r="J24" t="s">
        <v>20</v>
      </c>
    </row>
    <row r="25" spans="1:10" x14ac:dyDescent="0.25">
      <c r="A25" t="s">
        <v>50</v>
      </c>
      <c r="B25" t="s">
        <v>22</v>
      </c>
      <c r="C25" t="s">
        <v>18</v>
      </c>
      <c r="D25" t="s">
        <v>34</v>
      </c>
      <c r="E25" s="1">
        <v>0.3263888888888889</v>
      </c>
      <c r="F25" s="1">
        <v>0.66041666666666665</v>
      </c>
      <c r="G25">
        <v>0</v>
      </c>
      <c r="H25" t="s">
        <v>29</v>
      </c>
      <c r="I25">
        <v>4534</v>
      </c>
      <c r="J25" t="s">
        <v>20</v>
      </c>
    </row>
    <row r="26" spans="1:10" x14ac:dyDescent="0.25">
      <c r="A26" t="s">
        <v>51</v>
      </c>
      <c r="B26" t="s">
        <v>11</v>
      </c>
      <c r="C26" t="s">
        <v>13</v>
      </c>
      <c r="D26" t="s">
        <v>34</v>
      </c>
      <c r="E26" s="1">
        <v>0.55972222222222223</v>
      </c>
      <c r="F26" s="1">
        <v>0.62152777777777779</v>
      </c>
      <c r="G26">
        <v>8</v>
      </c>
      <c r="H26" t="s">
        <v>29</v>
      </c>
      <c r="I26">
        <v>1643</v>
      </c>
      <c r="J26" t="s">
        <v>15</v>
      </c>
    </row>
    <row r="27" spans="1:10" x14ac:dyDescent="0.25">
      <c r="A27" t="s">
        <v>52</v>
      </c>
      <c r="B27" t="s">
        <v>17</v>
      </c>
      <c r="C27" t="s">
        <v>13</v>
      </c>
      <c r="D27" t="s">
        <v>18</v>
      </c>
      <c r="E27" s="1">
        <v>0.3</v>
      </c>
      <c r="F27" s="1">
        <v>0.27361111111111108</v>
      </c>
      <c r="G27">
        <v>34</v>
      </c>
      <c r="H27" t="s">
        <v>23</v>
      </c>
      <c r="I27">
        <v>4875</v>
      </c>
      <c r="J27" t="s">
        <v>20</v>
      </c>
    </row>
    <row r="28" spans="1:10" x14ac:dyDescent="0.25">
      <c r="A28" t="s">
        <v>53</v>
      </c>
      <c r="B28" t="s">
        <v>39</v>
      </c>
      <c r="C28" t="s">
        <v>19</v>
      </c>
      <c r="D28" t="s">
        <v>34</v>
      </c>
      <c r="E28" s="1">
        <v>0.10277777777777779</v>
      </c>
      <c r="F28" s="1">
        <v>0.71250000000000002</v>
      </c>
      <c r="G28">
        <v>0</v>
      </c>
      <c r="H28" t="s">
        <v>29</v>
      </c>
      <c r="I28">
        <v>1614</v>
      </c>
      <c r="J28" t="s">
        <v>15</v>
      </c>
    </row>
    <row r="29" spans="1:10" x14ac:dyDescent="0.25">
      <c r="A29" t="s">
        <v>54</v>
      </c>
      <c r="B29" t="s">
        <v>22</v>
      </c>
      <c r="C29" t="s">
        <v>13</v>
      </c>
      <c r="D29" t="s">
        <v>26</v>
      </c>
      <c r="E29" s="1">
        <v>0.63402777777777775</v>
      </c>
      <c r="F29" s="1">
        <v>0.5395833333333333</v>
      </c>
      <c r="G29">
        <v>45</v>
      </c>
      <c r="H29" t="s">
        <v>23</v>
      </c>
      <c r="I29">
        <v>1680</v>
      </c>
      <c r="J29" t="s">
        <v>20</v>
      </c>
    </row>
    <row r="30" spans="1:10" x14ac:dyDescent="0.25">
      <c r="A30" t="s">
        <v>55</v>
      </c>
      <c r="B30" t="s">
        <v>11</v>
      </c>
      <c r="C30" t="s">
        <v>19</v>
      </c>
      <c r="D30" t="s">
        <v>13</v>
      </c>
      <c r="E30" s="1">
        <v>0.59583333333333333</v>
      </c>
      <c r="F30" s="1">
        <v>0.57222222222222219</v>
      </c>
      <c r="G30">
        <v>5</v>
      </c>
      <c r="H30" t="s">
        <v>29</v>
      </c>
      <c r="I30">
        <v>5752</v>
      </c>
      <c r="J30" t="s">
        <v>24</v>
      </c>
    </row>
    <row r="31" spans="1:10" x14ac:dyDescent="0.25">
      <c r="A31" t="s">
        <v>56</v>
      </c>
      <c r="B31" t="s">
        <v>17</v>
      </c>
      <c r="C31" t="s">
        <v>34</v>
      </c>
      <c r="D31" t="s">
        <v>26</v>
      </c>
      <c r="E31" s="1">
        <v>0.78263888888888899</v>
      </c>
      <c r="F31" s="1">
        <v>0.7104166666666667</v>
      </c>
      <c r="G31">
        <v>18</v>
      </c>
      <c r="H31" t="s">
        <v>29</v>
      </c>
      <c r="I31">
        <v>3769</v>
      </c>
      <c r="J31" t="s">
        <v>15</v>
      </c>
    </row>
    <row r="32" spans="1:10" x14ac:dyDescent="0.25">
      <c r="A32" t="s">
        <v>57</v>
      </c>
      <c r="B32" t="s">
        <v>39</v>
      </c>
      <c r="C32" t="s">
        <v>13</v>
      </c>
      <c r="D32" t="s">
        <v>12</v>
      </c>
      <c r="E32" s="1">
        <v>6.3888888888888884E-2</v>
      </c>
      <c r="F32" s="1">
        <v>0.12083333333333333</v>
      </c>
      <c r="G32">
        <v>5</v>
      </c>
      <c r="H32" t="s">
        <v>29</v>
      </c>
      <c r="I32">
        <v>2722</v>
      </c>
      <c r="J32" t="s">
        <v>15</v>
      </c>
    </row>
    <row r="33" spans="1:10" x14ac:dyDescent="0.25">
      <c r="A33" t="s">
        <v>58</v>
      </c>
      <c r="B33" t="s">
        <v>39</v>
      </c>
      <c r="C33" t="s">
        <v>18</v>
      </c>
      <c r="D33" t="s">
        <v>13</v>
      </c>
      <c r="E33" s="1">
        <v>0.50486111111111109</v>
      </c>
      <c r="F33" s="1">
        <v>0.76041666666666663</v>
      </c>
      <c r="G33">
        <v>104</v>
      </c>
      <c r="H33" t="s">
        <v>23</v>
      </c>
      <c r="I33">
        <v>5942</v>
      </c>
      <c r="J33" t="s">
        <v>15</v>
      </c>
    </row>
    <row r="34" spans="1:10" x14ac:dyDescent="0.25">
      <c r="A34" t="s">
        <v>59</v>
      </c>
      <c r="B34" t="s">
        <v>11</v>
      </c>
      <c r="C34" t="s">
        <v>18</v>
      </c>
      <c r="D34" t="s">
        <v>13</v>
      </c>
      <c r="E34" s="1">
        <v>0.34236111111111112</v>
      </c>
      <c r="F34" s="1">
        <v>0.90625</v>
      </c>
      <c r="G34">
        <v>29</v>
      </c>
      <c r="H34" t="s">
        <v>23</v>
      </c>
      <c r="I34">
        <v>3773</v>
      </c>
      <c r="J34" t="s">
        <v>20</v>
      </c>
    </row>
    <row r="35" spans="1:10" x14ac:dyDescent="0.25">
      <c r="A35" t="s">
        <v>60</v>
      </c>
      <c r="B35" t="s">
        <v>11</v>
      </c>
      <c r="C35" t="s">
        <v>26</v>
      </c>
      <c r="D35" t="s">
        <v>18</v>
      </c>
      <c r="E35" s="1">
        <v>0.59722222222222221</v>
      </c>
      <c r="F35" s="1">
        <v>8.3333333333333329E-2</v>
      </c>
      <c r="G35">
        <v>0</v>
      </c>
      <c r="H35" t="s">
        <v>29</v>
      </c>
      <c r="I35">
        <v>4954</v>
      </c>
      <c r="J35" t="s">
        <v>15</v>
      </c>
    </row>
    <row r="36" spans="1:10" x14ac:dyDescent="0.25">
      <c r="A36" t="s">
        <v>61</v>
      </c>
      <c r="B36" t="s">
        <v>11</v>
      </c>
      <c r="C36" t="s">
        <v>13</v>
      </c>
      <c r="D36" t="s">
        <v>12</v>
      </c>
      <c r="E36" s="1">
        <v>0.2076388888888889</v>
      </c>
      <c r="F36" s="1">
        <v>0.49722222222222223</v>
      </c>
      <c r="G36">
        <v>62</v>
      </c>
      <c r="H36" t="s">
        <v>23</v>
      </c>
      <c r="I36">
        <v>1763</v>
      </c>
      <c r="J36" t="s">
        <v>20</v>
      </c>
    </row>
    <row r="37" spans="1:10" x14ac:dyDescent="0.25">
      <c r="A37" t="s">
        <v>62</v>
      </c>
      <c r="B37" t="s">
        <v>11</v>
      </c>
      <c r="C37" t="s">
        <v>26</v>
      </c>
      <c r="D37" t="s">
        <v>19</v>
      </c>
      <c r="E37" s="1">
        <v>0.82708333333333339</v>
      </c>
      <c r="F37" s="1">
        <v>0.85625000000000007</v>
      </c>
      <c r="G37">
        <v>0</v>
      </c>
      <c r="H37" t="s">
        <v>29</v>
      </c>
      <c r="I37">
        <v>1264</v>
      </c>
      <c r="J37" t="s">
        <v>27</v>
      </c>
    </row>
    <row r="38" spans="1:10" x14ac:dyDescent="0.25">
      <c r="A38" t="s">
        <v>63</v>
      </c>
      <c r="B38" t="s">
        <v>39</v>
      </c>
      <c r="C38" t="s">
        <v>12</v>
      </c>
      <c r="D38" t="s">
        <v>13</v>
      </c>
      <c r="E38" s="1">
        <v>0.33819444444444446</v>
      </c>
      <c r="F38" s="1">
        <v>0.15763888888888888</v>
      </c>
      <c r="G38">
        <v>38</v>
      </c>
      <c r="H38" t="s">
        <v>23</v>
      </c>
      <c r="I38">
        <v>5732</v>
      </c>
      <c r="J38" t="s">
        <v>20</v>
      </c>
    </row>
    <row r="39" spans="1:10" x14ac:dyDescent="0.25">
      <c r="A39" t="s">
        <v>64</v>
      </c>
      <c r="B39" t="s">
        <v>11</v>
      </c>
      <c r="C39" t="s">
        <v>26</v>
      </c>
      <c r="D39" t="s">
        <v>19</v>
      </c>
      <c r="E39" s="1">
        <v>0.27986111111111112</v>
      </c>
      <c r="F39" s="1">
        <v>0.87083333333333324</v>
      </c>
      <c r="G39">
        <v>0</v>
      </c>
      <c r="H39" t="s">
        <v>29</v>
      </c>
      <c r="I39">
        <v>3362</v>
      </c>
      <c r="J39" t="s">
        <v>24</v>
      </c>
    </row>
    <row r="40" spans="1:10" x14ac:dyDescent="0.25">
      <c r="A40" t="s">
        <v>65</v>
      </c>
      <c r="B40" t="s">
        <v>22</v>
      </c>
      <c r="C40" t="s">
        <v>26</v>
      </c>
      <c r="D40" t="s">
        <v>13</v>
      </c>
      <c r="E40" s="1">
        <v>0.3347222222222222</v>
      </c>
      <c r="F40" s="1">
        <v>1.4583333333333332E-2</v>
      </c>
      <c r="G40">
        <v>0</v>
      </c>
      <c r="H40" t="s">
        <v>29</v>
      </c>
      <c r="I40">
        <v>2271</v>
      </c>
      <c r="J40" t="s">
        <v>27</v>
      </c>
    </row>
    <row r="41" spans="1:10" x14ac:dyDescent="0.25">
      <c r="A41" t="s">
        <v>66</v>
      </c>
      <c r="B41" t="s">
        <v>22</v>
      </c>
      <c r="C41" t="s">
        <v>34</v>
      </c>
      <c r="D41" t="s">
        <v>18</v>
      </c>
      <c r="E41" s="1">
        <v>0.70833333333333337</v>
      </c>
      <c r="F41" s="1">
        <v>0.1277777777777778</v>
      </c>
      <c r="G41">
        <v>37</v>
      </c>
      <c r="H41" t="s">
        <v>23</v>
      </c>
      <c r="I41">
        <v>2421</v>
      </c>
      <c r="J41" t="s">
        <v>15</v>
      </c>
    </row>
    <row r="42" spans="1:10" x14ac:dyDescent="0.25">
      <c r="A42" t="s">
        <v>67</v>
      </c>
      <c r="B42" t="s">
        <v>22</v>
      </c>
      <c r="C42" t="s">
        <v>26</v>
      </c>
      <c r="D42" t="s">
        <v>12</v>
      </c>
      <c r="E42" s="1">
        <v>0.16805555555555554</v>
      </c>
      <c r="F42" s="1">
        <v>0.39097222222222222</v>
      </c>
      <c r="G42">
        <v>59</v>
      </c>
      <c r="H42" t="s">
        <v>23</v>
      </c>
      <c r="I42">
        <v>1526</v>
      </c>
      <c r="J42" t="s">
        <v>27</v>
      </c>
    </row>
    <row r="43" spans="1:10" x14ac:dyDescent="0.25">
      <c r="A43" t="s">
        <v>68</v>
      </c>
      <c r="B43" t="s">
        <v>11</v>
      </c>
      <c r="C43" t="s">
        <v>34</v>
      </c>
      <c r="D43" t="s">
        <v>26</v>
      </c>
      <c r="E43" s="1">
        <v>0.74722222222222223</v>
      </c>
      <c r="F43" s="1">
        <v>0.56874999999999998</v>
      </c>
      <c r="G43">
        <v>36</v>
      </c>
      <c r="H43" t="s">
        <v>23</v>
      </c>
      <c r="I43">
        <v>2466</v>
      </c>
      <c r="J43" t="s">
        <v>20</v>
      </c>
    </row>
    <row r="44" spans="1:10" x14ac:dyDescent="0.25">
      <c r="A44" t="s">
        <v>69</v>
      </c>
      <c r="B44" t="s">
        <v>17</v>
      </c>
      <c r="C44" t="s">
        <v>34</v>
      </c>
      <c r="D44" t="s">
        <v>26</v>
      </c>
      <c r="E44" s="1">
        <v>0.24097222222222223</v>
      </c>
      <c r="F44" s="1">
        <v>0.4513888888888889</v>
      </c>
      <c r="G44">
        <v>25</v>
      </c>
      <c r="H44" t="s">
        <v>23</v>
      </c>
      <c r="I44">
        <v>4572</v>
      </c>
      <c r="J44" t="s">
        <v>20</v>
      </c>
    </row>
    <row r="45" spans="1:10" x14ac:dyDescent="0.25">
      <c r="A45" t="s">
        <v>70</v>
      </c>
      <c r="B45" t="s">
        <v>17</v>
      </c>
      <c r="C45" t="s">
        <v>26</v>
      </c>
      <c r="D45" t="s">
        <v>34</v>
      </c>
      <c r="E45" s="1">
        <v>0.53819444444444442</v>
      </c>
      <c r="F45" s="1">
        <v>7.9166666666666663E-2</v>
      </c>
      <c r="G45">
        <v>17</v>
      </c>
      <c r="H45" t="s">
        <v>29</v>
      </c>
      <c r="I45">
        <v>5055</v>
      </c>
      <c r="J45" t="s">
        <v>20</v>
      </c>
    </row>
    <row r="46" spans="1:10" x14ac:dyDescent="0.25">
      <c r="A46" t="s">
        <v>71</v>
      </c>
      <c r="B46" t="s">
        <v>39</v>
      </c>
      <c r="C46" t="s">
        <v>34</v>
      </c>
      <c r="D46" t="s">
        <v>18</v>
      </c>
      <c r="E46" s="1">
        <v>0.29236111111111113</v>
      </c>
      <c r="F46" s="1">
        <v>0.8833333333333333</v>
      </c>
      <c r="G46">
        <v>0</v>
      </c>
      <c r="H46" t="s">
        <v>29</v>
      </c>
      <c r="I46">
        <v>4464</v>
      </c>
      <c r="J46" t="s">
        <v>27</v>
      </c>
    </row>
    <row r="47" spans="1:10" x14ac:dyDescent="0.25">
      <c r="A47" t="s">
        <v>72</v>
      </c>
      <c r="B47" t="s">
        <v>11</v>
      </c>
      <c r="C47" t="s">
        <v>26</v>
      </c>
      <c r="D47" t="s">
        <v>13</v>
      </c>
      <c r="E47" s="1">
        <v>0.48680555555555555</v>
      </c>
      <c r="F47" s="1">
        <v>0.68402777777777779</v>
      </c>
      <c r="G47">
        <v>1</v>
      </c>
      <c r="H47" t="s">
        <v>29</v>
      </c>
      <c r="I47">
        <v>5592</v>
      </c>
      <c r="J47" t="s">
        <v>27</v>
      </c>
    </row>
    <row r="48" spans="1:10" x14ac:dyDescent="0.25">
      <c r="A48" t="s">
        <v>73</v>
      </c>
      <c r="B48" t="s">
        <v>11</v>
      </c>
      <c r="C48" t="s">
        <v>13</v>
      </c>
      <c r="D48" t="s">
        <v>34</v>
      </c>
      <c r="E48" s="1">
        <v>0.23402777777777781</v>
      </c>
      <c r="F48" s="1">
        <v>0.3347222222222222</v>
      </c>
      <c r="G48">
        <v>11</v>
      </c>
      <c r="H48" t="s">
        <v>29</v>
      </c>
      <c r="I48">
        <v>2088</v>
      </c>
      <c r="J48" t="s">
        <v>24</v>
      </c>
    </row>
    <row r="49" spans="1:10" x14ac:dyDescent="0.25">
      <c r="A49" t="s">
        <v>74</v>
      </c>
      <c r="B49" t="s">
        <v>17</v>
      </c>
      <c r="C49" t="s">
        <v>26</v>
      </c>
      <c r="D49" t="s">
        <v>19</v>
      </c>
      <c r="E49" s="1">
        <v>0.5395833333333333</v>
      </c>
      <c r="F49" s="1">
        <v>0.7583333333333333</v>
      </c>
      <c r="G49">
        <v>72</v>
      </c>
      <c r="H49" t="s">
        <v>23</v>
      </c>
      <c r="I49">
        <v>3286</v>
      </c>
      <c r="J49" t="s">
        <v>15</v>
      </c>
    </row>
    <row r="50" spans="1:10" x14ac:dyDescent="0.25">
      <c r="A50" t="s">
        <v>75</v>
      </c>
      <c r="B50" t="s">
        <v>39</v>
      </c>
      <c r="C50" t="s">
        <v>12</v>
      </c>
      <c r="D50" t="s">
        <v>19</v>
      </c>
      <c r="E50" s="1">
        <v>0.4770833333333333</v>
      </c>
      <c r="F50" s="1">
        <v>0.1125</v>
      </c>
      <c r="G50">
        <v>0</v>
      </c>
      <c r="H50" t="s">
        <v>14</v>
      </c>
      <c r="I50">
        <v>3904</v>
      </c>
      <c r="J50" t="s">
        <v>27</v>
      </c>
    </row>
    <row r="51" spans="1:10" x14ac:dyDescent="0.25">
      <c r="A51" t="s">
        <v>76</v>
      </c>
      <c r="B51" t="s">
        <v>11</v>
      </c>
      <c r="C51" t="s">
        <v>12</v>
      </c>
      <c r="D51" t="s">
        <v>13</v>
      </c>
      <c r="E51" s="1">
        <v>0.67986111111111114</v>
      </c>
      <c r="F51" s="1">
        <v>0.8930555555555556</v>
      </c>
      <c r="G51">
        <v>0</v>
      </c>
      <c r="H51" t="s">
        <v>29</v>
      </c>
      <c r="I51">
        <v>3872</v>
      </c>
      <c r="J51" t="s">
        <v>24</v>
      </c>
    </row>
    <row r="52" spans="1:10" x14ac:dyDescent="0.25">
      <c r="A52" t="s">
        <v>77</v>
      </c>
      <c r="B52" t="s">
        <v>39</v>
      </c>
      <c r="C52" t="s">
        <v>12</v>
      </c>
      <c r="D52" t="s">
        <v>26</v>
      </c>
      <c r="E52" s="1">
        <v>0.5708333333333333</v>
      </c>
      <c r="F52" s="1">
        <v>0.52986111111111112</v>
      </c>
      <c r="G52">
        <v>42</v>
      </c>
      <c r="H52" t="s">
        <v>23</v>
      </c>
      <c r="I52">
        <v>2625</v>
      </c>
      <c r="J52" t="s">
        <v>27</v>
      </c>
    </row>
    <row r="53" spans="1:10" x14ac:dyDescent="0.25">
      <c r="A53" t="s">
        <v>78</v>
      </c>
      <c r="B53" t="s">
        <v>11</v>
      </c>
      <c r="C53" t="s">
        <v>19</v>
      </c>
      <c r="D53" t="s">
        <v>12</v>
      </c>
      <c r="E53" s="1">
        <v>0.3840277777777778</v>
      </c>
      <c r="F53" s="1">
        <v>0.57638888888888895</v>
      </c>
      <c r="G53">
        <v>14</v>
      </c>
      <c r="H53" t="s">
        <v>29</v>
      </c>
      <c r="I53">
        <v>5951</v>
      </c>
      <c r="J53" t="s">
        <v>27</v>
      </c>
    </row>
    <row r="54" spans="1:10" x14ac:dyDescent="0.25">
      <c r="A54" t="s">
        <v>79</v>
      </c>
      <c r="B54" t="s">
        <v>39</v>
      </c>
      <c r="C54" t="s">
        <v>19</v>
      </c>
      <c r="D54" t="s">
        <v>18</v>
      </c>
      <c r="E54" s="1">
        <v>0.6875</v>
      </c>
      <c r="F54" s="1">
        <v>0.96527777777777779</v>
      </c>
      <c r="G54">
        <v>2</v>
      </c>
      <c r="H54" t="s">
        <v>29</v>
      </c>
      <c r="I54">
        <v>1894</v>
      </c>
      <c r="J54" t="s">
        <v>27</v>
      </c>
    </row>
    <row r="55" spans="1:10" x14ac:dyDescent="0.25">
      <c r="A55" t="s">
        <v>80</v>
      </c>
      <c r="B55" t="s">
        <v>39</v>
      </c>
      <c r="C55" t="s">
        <v>18</v>
      </c>
      <c r="D55" t="s">
        <v>12</v>
      </c>
      <c r="E55" s="1">
        <v>0.8881944444444444</v>
      </c>
      <c r="F55" s="1">
        <v>0.32708333333333334</v>
      </c>
      <c r="G55">
        <v>54</v>
      </c>
      <c r="H55" t="s">
        <v>23</v>
      </c>
      <c r="I55">
        <v>2831</v>
      </c>
      <c r="J55" t="s">
        <v>20</v>
      </c>
    </row>
    <row r="56" spans="1:10" x14ac:dyDescent="0.25">
      <c r="A56" t="s">
        <v>81</v>
      </c>
      <c r="B56" t="s">
        <v>22</v>
      </c>
      <c r="C56" t="s">
        <v>13</v>
      </c>
      <c r="D56" t="s">
        <v>34</v>
      </c>
      <c r="E56" s="1">
        <v>0.82916666666666661</v>
      </c>
      <c r="F56" s="1">
        <v>0.10347222222222223</v>
      </c>
      <c r="G56">
        <v>71</v>
      </c>
      <c r="H56" t="s">
        <v>23</v>
      </c>
      <c r="I56">
        <v>4595</v>
      </c>
      <c r="J56" t="s">
        <v>20</v>
      </c>
    </row>
    <row r="57" spans="1:10" x14ac:dyDescent="0.25">
      <c r="A57" t="s">
        <v>82</v>
      </c>
      <c r="B57" t="s">
        <v>39</v>
      </c>
      <c r="C57" t="s">
        <v>12</v>
      </c>
      <c r="D57" t="s">
        <v>19</v>
      </c>
      <c r="E57" s="1">
        <v>0.19513888888888889</v>
      </c>
      <c r="F57" s="1">
        <v>0.91666666666666663</v>
      </c>
      <c r="G57">
        <v>67</v>
      </c>
      <c r="H57" t="s">
        <v>23</v>
      </c>
      <c r="I57">
        <v>2073</v>
      </c>
      <c r="J57" t="s">
        <v>24</v>
      </c>
    </row>
    <row r="58" spans="1:10" x14ac:dyDescent="0.25">
      <c r="A58" t="s">
        <v>83</v>
      </c>
      <c r="B58" t="s">
        <v>22</v>
      </c>
      <c r="C58" t="s">
        <v>34</v>
      </c>
      <c r="D58" t="s">
        <v>26</v>
      </c>
      <c r="E58" s="1">
        <v>6.5972222222222224E-2</v>
      </c>
      <c r="F58" s="1">
        <v>0.33194444444444443</v>
      </c>
      <c r="G58">
        <v>0</v>
      </c>
      <c r="H58" t="s">
        <v>29</v>
      </c>
      <c r="I58">
        <v>2194</v>
      </c>
      <c r="J58" t="s">
        <v>24</v>
      </c>
    </row>
    <row r="59" spans="1:10" x14ac:dyDescent="0.25">
      <c r="A59" t="s">
        <v>84</v>
      </c>
      <c r="B59" t="s">
        <v>11</v>
      </c>
      <c r="C59" t="s">
        <v>34</v>
      </c>
      <c r="D59" t="s">
        <v>18</v>
      </c>
      <c r="E59" s="1">
        <v>0.61041666666666672</v>
      </c>
      <c r="F59" s="1">
        <v>0.99791666666666667</v>
      </c>
      <c r="G59">
        <v>17</v>
      </c>
      <c r="H59" t="s">
        <v>29</v>
      </c>
      <c r="I59">
        <v>5335</v>
      </c>
      <c r="J59" t="s">
        <v>24</v>
      </c>
    </row>
    <row r="60" spans="1:10" x14ac:dyDescent="0.25">
      <c r="A60" t="s">
        <v>85</v>
      </c>
      <c r="B60" t="s">
        <v>22</v>
      </c>
      <c r="C60" t="s">
        <v>18</v>
      </c>
      <c r="D60" t="s">
        <v>19</v>
      </c>
      <c r="E60" s="1">
        <v>0.59444444444444444</v>
      </c>
      <c r="F60" s="1">
        <v>0.32847222222222222</v>
      </c>
      <c r="G60">
        <v>43</v>
      </c>
      <c r="H60" t="s">
        <v>23</v>
      </c>
      <c r="I60">
        <v>3471</v>
      </c>
      <c r="J60" t="s">
        <v>24</v>
      </c>
    </row>
    <row r="61" spans="1:10" x14ac:dyDescent="0.25">
      <c r="A61" t="s">
        <v>86</v>
      </c>
      <c r="B61" t="s">
        <v>17</v>
      </c>
      <c r="C61" t="s">
        <v>12</v>
      </c>
      <c r="D61" t="s">
        <v>34</v>
      </c>
      <c r="E61" s="1">
        <v>0.9291666666666667</v>
      </c>
      <c r="F61" s="1">
        <v>0.3034722222222222</v>
      </c>
      <c r="G61">
        <v>69</v>
      </c>
      <c r="H61" t="s">
        <v>23</v>
      </c>
      <c r="I61">
        <v>3951</v>
      </c>
      <c r="J61" t="s">
        <v>27</v>
      </c>
    </row>
    <row r="62" spans="1:10" x14ac:dyDescent="0.25">
      <c r="A62" t="s">
        <v>87</v>
      </c>
      <c r="B62" t="s">
        <v>39</v>
      </c>
      <c r="C62" t="s">
        <v>18</v>
      </c>
      <c r="D62" t="s">
        <v>13</v>
      </c>
      <c r="E62" s="1">
        <v>0.53055555555555556</v>
      </c>
      <c r="F62" s="1">
        <v>0.19791666666666666</v>
      </c>
      <c r="G62">
        <v>10</v>
      </c>
      <c r="H62" t="s">
        <v>29</v>
      </c>
      <c r="I62">
        <v>2952</v>
      </c>
      <c r="J62" t="s">
        <v>15</v>
      </c>
    </row>
    <row r="63" spans="1:10" x14ac:dyDescent="0.25">
      <c r="A63" t="s">
        <v>88</v>
      </c>
      <c r="B63" t="s">
        <v>22</v>
      </c>
      <c r="C63" t="s">
        <v>19</v>
      </c>
      <c r="D63" t="s">
        <v>18</v>
      </c>
      <c r="E63" s="1">
        <v>0.54375000000000007</v>
      </c>
      <c r="F63" s="1">
        <v>0.28680555555555554</v>
      </c>
      <c r="G63">
        <v>22</v>
      </c>
      <c r="H63" t="s">
        <v>23</v>
      </c>
      <c r="I63">
        <v>4641</v>
      </c>
      <c r="J63" t="s">
        <v>24</v>
      </c>
    </row>
    <row r="64" spans="1:10" x14ac:dyDescent="0.25">
      <c r="A64" t="s">
        <v>89</v>
      </c>
      <c r="B64" t="s">
        <v>22</v>
      </c>
      <c r="C64" t="s">
        <v>18</v>
      </c>
      <c r="D64" t="s">
        <v>13</v>
      </c>
      <c r="E64" s="1">
        <v>0.625</v>
      </c>
      <c r="F64" s="1">
        <v>0.47152777777777777</v>
      </c>
      <c r="G64">
        <v>0</v>
      </c>
      <c r="H64" t="s">
        <v>29</v>
      </c>
      <c r="I64">
        <v>4394</v>
      </c>
      <c r="J64" t="s">
        <v>24</v>
      </c>
    </row>
    <row r="65" spans="1:10" x14ac:dyDescent="0.25">
      <c r="A65" t="s">
        <v>90</v>
      </c>
      <c r="B65" t="s">
        <v>39</v>
      </c>
      <c r="C65" t="s">
        <v>18</v>
      </c>
      <c r="D65" t="s">
        <v>12</v>
      </c>
      <c r="E65" s="1">
        <v>0.63472222222222219</v>
      </c>
      <c r="F65" s="1">
        <v>0.3520833333333333</v>
      </c>
      <c r="G65">
        <v>0</v>
      </c>
      <c r="H65" t="s">
        <v>29</v>
      </c>
      <c r="I65">
        <v>5178</v>
      </c>
      <c r="J65" t="s">
        <v>15</v>
      </c>
    </row>
    <row r="66" spans="1:10" x14ac:dyDescent="0.25">
      <c r="A66" t="s">
        <v>91</v>
      </c>
      <c r="B66" t="s">
        <v>22</v>
      </c>
      <c r="C66" t="s">
        <v>19</v>
      </c>
      <c r="D66" t="s">
        <v>26</v>
      </c>
      <c r="E66" s="1">
        <v>0.96527777777777779</v>
      </c>
      <c r="F66" s="1">
        <v>0.62361111111111112</v>
      </c>
      <c r="G66">
        <v>62</v>
      </c>
      <c r="H66" t="s">
        <v>23</v>
      </c>
      <c r="I66">
        <v>2245</v>
      </c>
      <c r="J66" t="s">
        <v>15</v>
      </c>
    </row>
    <row r="67" spans="1:10" x14ac:dyDescent="0.25">
      <c r="A67" t="s">
        <v>92</v>
      </c>
      <c r="B67" t="s">
        <v>17</v>
      </c>
      <c r="C67" t="s">
        <v>19</v>
      </c>
      <c r="D67" t="s">
        <v>12</v>
      </c>
      <c r="E67" s="1">
        <v>0.11180555555555556</v>
      </c>
      <c r="F67" s="1">
        <v>0.54722222222222217</v>
      </c>
      <c r="G67">
        <v>84</v>
      </c>
      <c r="H67" t="s">
        <v>23</v>
      </c>
      <c r="I67">
        <v>4982</v>
      </c>
      <c r="J67" t="s">
        <v>20</v>
      </c>
    </row>
    <row r="68" spans="1:10" x14ac:dyDescent="0.25">
      <c r="A68" t="s">
        <v>93</v>
      </c>
      <c r="B68" t="s">
        <v>39</v>
      </c>
      <c r="C68" t="s">
        <v>13</v>
      </c>
      <c r="D68" t="s">
        <v>19</v>
      </c>
      <c r="E68" s="1">
        <v>0.59722222222222221</v>
      </c>
      <c r="F68" s="1">
        <v>0.45</v>
      </c>
      <c r="G68">
        <v>27</v>
      </c>
      <c r="H68" t="s">
        <v>23</v>
      </c>
      <c r="I68">
        <v>4305</v>
      </c>
      <c r="J68" t="s">
        <v>27</v>
      </c>
    </row>
    <row r="69" spans="1:10" x14ac:dyDescent="0.25">
      <c r="A69" t="s">
        <v>94</v>
      </c>
      <c r="B69" t="s">
        <v>22</v>
      </c>
      <c r="C69" t="s">
        <v>19</v>
      </c>
      <c r="D69" t="s">
        <v>26</v>
      </c>
      <c r="E69" s="1">
        <v>3.2638888888888891E-2</v>
      </c>
      <c r="F69" s="1">
        <v>0.7104166666666667</v>
      </c>
      <c r="G69">
        <v>70</v>
      </c>
      <c r="H69" t="s">
        <v>23</v>
      </c>
      <c r="I69">
        <v>4066</v>
      </c>
      <c r="J69" t="s">
        <v>20</v>
      </c>
    </row>
    <row r="70" spans="1:10" x14ac:dyDescent="0.25">
      <c r="A70" t="s">
        <v>95</v>
      </c>
      <c r="B70" t="s">
        <v>17</v>
      </c>
      <c r="C70" t="s">
        <v>12</v>
      </c>
      <c r="D70" t="s">
        <v>13</v>
      </c>
      <c r="E70" s="1">
        <v>1.0416666666666666E-2</v>
      </c>
      <c r="F70" s="1">
        <v>0.28680555555555554</v>
      </c>
      <c r="G70">
        <v>44</v>
      </c>
      <c r="H70" t="s">
        <v>23</v>
      </c>
      <c r="I70">
        <v>1366</v>
      </c>
      <c r="J70" t="s">
        <v>20</v>
      </c>
    </row>
    <row r="71" spans="1:10" x14ac:dyDescent="0.25">
      <c r="A71" t="s">
        <v>96</v>
      </c>
      <c r="B71" t="s">
        <v>17</v>
      </c>
      <c r="C71" t="s">
        <v>34</v>
      </c>
      <c r="D71" t="s">
        <v>26</v>
      </c>
      <c r="E71" s="1">
        <v>0.75902777777777775</v>
      </c>
      <c r="F71" s="1">
        <v>0.61388888888888882</v>
      </c>
      <c r="G71">
        <v>4</v>
      </c>
      <c r="H71" t="s">
        <v>29</v>
      </c>
      <c r="I71">
        <v>3299</v>
      </c>
      <c r="J71" t="s">
        <v>27</v>
      </c>
    </row>
    <row r="72" spans="1:10" x14ac:dyDescent="0.25">
      <c r="A72" t="s">
        <v>97</v>
      </c>
      <c r="B72" t="s">
        <v>17</v>
      </c>
      <c r="C72" t="s">
        <v>34</v>
      </c>
      <c r="D72" t="s">
        <v>12</v>
      </c>
      <c r="E72" s="1">
        <v>0.22152777777777777</v>
      </c>
      <c r="F72" s="1">
        <v>0.15069444444444444</v>
      </c>
      <c r="G72">
        <v>44</v>
      </c>
      <c r="H72" t="s">
        <v>23</v>
      </c>
      <c r="I72">
        <v>1410</v>
      </c>
      <c r="J72" t="s">
        <v>27</v>
      </c>
    </row>
    <row r="73" spans="1:10" x14ac:dyDescent="0.25">
      <c r="A73" t="s">
        <v>98</v>
      </c>
      <c r="B73" t="s">
        <v>39</v>
      </c>
      <c r="C73" t="s">
        <v>18</v>
      </c>
      <c r="D73" t="s">
        <v>19</v>
      </c>
      <c r="E73" s="1">
        <v>0.10902777777777778</v>
      </c>
      <c r="F73" s="1">
        <v>0.95347222222222217</v>
      </c>
      <c r="G73">
        <v>91</v>
      </c>
      <c r="H73" t="s">
        <v>23</v>
      </c>
      <c r="I73">
        <v>3189</v>
      </c>
      <c r="J73" t="s">
        <v>15</v>
      </c>
    </row>
    <row r="74" spans="1:10" x14ac:dyDescent="0.25">
      <c r="A74" t="s">
        <v>99</v>
      </c>
      <c r="B74" t="s">
        <v>17</v>
      </c>
      <c r="C74" t="s">
        <v>12</v>
      </c>
      <c r="D74" t="s">
        <v>26</v>
      </c>
      <c r="E74" s="1">
        <v>0.78472222222222221</v>
      </c>
      <c r="F74" s="1">
        <v>5.6944444444444443E-2</v>
      </c>
      <c r="G74">
        <v>28</v>
      </c>
      <c r="H74" t="s">
        <v>23</v>
      </c>
      <c r="I74">
        <v>5564</v>
      </c>
      <c r="J74" t="s">
        <v>24</v>
      </c>
    </row>
    <row r="75" spans="1:10" x14ac:dyDescent="0.25">
      <c r="A75" t="s">
        <v>100</v>
      </c>
      <c r="B75" t="s">
        <v>11</v>
      </c>
      <c r="C75" t="s">
        <v>12</v>
      </c>
      <c r="D75" t="s">
        <v>26</v>
      </c>
      <c r="E75" s="1">
        <v>3.7499999999999999E-2</v>
      </c>
      <c r="F75" s="1">
        <v>0.57777777777777783</v>
      </c>
      <c r="G75">
        <v>92</v>
      </c>
      <c r="H75" t="s">
        <v>23</v>
      </c>
      <c r="I75">
        <v>5215</v>
      </c>
      <c r="J75" t="s">
        <v>15</v>
      </c>
    </row>
    <row r="76" spans="1:10" x14ac:dyDescent="0.25">
      <c r="A76" t="s">
        <v>101</v>
      </c>
      <c r="B76" t="s">
        <v>22</v>
      </c>
      <c r="C76" t="s">
        <v>19</v>
      </c>
      <c r="D76" t="s">
        <v>26</v>
      </c>
      <c r="E76" s="1">
        <v>0.92291666666666661</v>
      </c>
      <c r="F76" s="1">
        <v>0.5493055555555556</v>
      </c>
      <c r="G76">
        <v>0</v>
      </c>
      <c r="H76" t="s">
        <v>29</v>
      </c>
      <c r="I76">
        <v>5474</v>
      </c>
      <c r="J76" t="s">
        <v>27</v>
      </c>
    </row>
    <row r="77" spans="1:10" x14ac:dyDescent="0.25">
      <c r="A77" t="s">
        <v>102</v>
      </c>
      <c r="B77" t="s">
        <v>22</v>
      </c>
      <c r="C77" t="s">
        <v>18</v>
      </c>
      <c r="D77" t="s">
        <v>12</v>
      </c>
      <c r="E77" s="1">
        <v>0.57777777777777783</v>
      </c>
      <c r="F77" s="1">
        <v>0.98402777777777783</v>
      </c>
      <c r="G77">
        <v>62</v>
      </c>
      <c r="H77" t="s">
        <v>23</v>
      </c>
      <c r="I77">
        <v>3398</v>
      </c>
      <c r="J77" t="s">
        <v>27</v>
      </c>
    </row>
    <row r="78" spans="1:10" x14ac:dyDescent="0.25">
      <c r="A78" t="s">
        <v>103</v>
      </c>
      <c r="B78" t="s">
        <v>22</v>
      </c>
      <c r="C78" t="s">
        <v>34</v>
      </c>
      <c r="D78" t="s">
        <v>13</v>
      </c>
      <c r="E78" s="1">
        <v>0.32500000000000001</v>
      </c>
      <c r="F78" s="1">
        <v>0.60833333333333328</v>
      </c>
      <c r="G78">
        <v>33</v>
      </c>
      <c r="H78" t="s">
        <v>23</v>
      </c>
      <c r="I78">
        <v>4304</v>
      </c>
      <c r="J78" t="s">
        <v>27</v>
      </c>
    </row>
    <row r="79" spans="1:10" x14ac:dyDescent="0.25">
      <c r="A79" t="s">
        <v>104</v>
      </c>
      <c r="B79" t="s">
        <v>39</v>
      </c>
      <c r="C79" t="s">
        <v>13</v>
      </c>
      <c r="D79" t="s">
        <v>18</v>
      </c>
      <c r="E79" s="1">
        <v>0.63402777777777775</v>
      </c>
      <c r="F79" s="1">
        <v>0.49374999999999997</v>
      </c>
      <c r="G79">
        <v>18</v>
      </c>
      <c r="H79" t="s">
        <v>29</v>
      </c>
      <c r="I79">
        <v>3316</v>
      </c>
      <c r="J79" t="s">
        <v>27</v>
      </c>
    </row>
    <row r="80" spans="1:10" x14ac:dyDescent="0.25">
      <c r="A80" t="s">
        <v>105</v>
      </c>
      <c r="B80" t="s">
        <v>11</v>
      </c>
      <c r="C80" t="s">
        <v>26</v>
      </c>
      <c r="D80" t="s">
        <v>12</v>
      </c>
      <c r="E80" s="1">
        <v>0.70833333333333337</v>
      </c>
      <c r="F80" s="1">
        <v>0.67499999999999993</v>
      </c>
      <c r="G80">
        <v>33</v>
      </c>
      <c r="H80" t="s">
        <v>23</v>
      </c>
      <c r="I80">
        <v>1901</v>
      </c>
      <c r="J80" t="s">
        <v>20</v>
      </c>
    </row>
    <row r="81" spans="1:10" x14ac:dyDescent="0.25">
      <c r="A81" t="s">
        <v>106</v>
      </c>
      <c r="B81" t="s">
        <v>39</v>
      </c>
      <c r="C81" t="s">
        <v>12</v>
      </c>
      <c r="D81" t="s">
        <v>19</v>
      </c>
      <c r="E81" s="1">
        <v>0.9375</v>
      </c>
      <c r="F81" s="1">
        <v>0.86458333333333337</v>
      </c>
      <c r="G81">
        <v>0</v>
      </c>
      <c r="H81" t="s">
        <v>29</v>
      </c>
      <c r="I81">
        <v>5220</v>
      </c>
      <c r="J81" t="s">
        <v>24</v>
      </c>
    </row>
    <row r="82" spans="1:10" x14ac:dyDescent="0.25">
      <c r="A82" t="s">
        <v>107</v>
      </c>
      <c r="B82" t="s">
        <v>22</v>
      </c>
      <c r="C82" t="s">
        <v>13</v>
      </c>
      <c r="D82" t="s">
        <v>34</v>
      </c>
      <c r="E82" s="1">
        <v>0.92708333333333337</v>
      </c>
      <c r="F82" s="1">
        <v>0.40416666666666662</v>
      </c>
      <c r="G82">
        <v>21</v>
      </c>
      <c r="H82" t="s">
        <v>23</v>
      </c>
      <c r="I82">
        <v>5964</v>
      </c>
      <c r="J82" t="s">
        <v>27</v>
      </c>
    </row>
    <row r="83" spans="1:10" x14ac:dyDescent="0.25">
      <c r="A83" t="s">
        <v>108</v>
      </c>
      <c r="B83" t="s">
        <v>22</v>
      </c>
      <c r="C83" t="s">
        <v>19</v>
      </c>
      <c r="D83" t="s">
        <v>12</v>
      </c>
      <c r="E83" s="1">
        <v>0.98263888888888884</v>
      </c>
      <c r="F83" s="1">
        <v>0.43194444444444446</v>
      </c>
      <c r="G83">
        <v>44</v>
      </c>
      <c r="H83" t="s">
        <v>23</v>
      </c>
      <c r="I83">
        <v>4917</v>
      </c>
      <c r="J83" t="s">
        <v>27</v>
      </c>
    </row>
    <row r="84" spans="1:10" x14ac:dyDescent="0.25">
      <c r="A84" t="s">
        <v>109</v>
      </c>
      <c r="B84" t="s">
        <v>39</v>
      </c>
      <c r="C84" t="s">
        <v>26</v>
      </c>
      <c r="D84" t="s">
        <v>19</v>
      </c>
      <c r="E84" s="1">
        <v>0.42152777777777778</v>
      </c>
      <c r="F84" s="1">
        <v>0.9819444444444444</v>
      </c>
      <c r="G84">
        <v>89</v>
      </c>
      <c r="H84" t="s">
        <v>23</v>
      </c>
      <c r="I84">
        <v>2716</v>
      </c>
      <c r="J84" t="s">
        <v>20</v>
      </c>
    </row>
    <row r="85" spans="1:10" x14ac:dyDescent="0.25">
      <c r="A85" t="s">
        <v>110</v>
      </c>
      <c r="B85" t="s">
        <v>11</v>
      </c>
      <c r="C85" t="s">
        <v>34</v>
      </c>
      <c r="D85" t="s">
        <v>18</v>
      </c>
      <c r="E85" s="1">
        <v>0.16180555555555556</v>
      </c>
      <c r="F85" s="1">
        <v>0.26250000000000001</v>
      </c>
      <c r="G85">
        <v>9</v>
      </c>
      <c r="H85" t="s">
        <v>29</v>
      </c>
      <c r="I85">
        <v>3063</v>
      </c>
      <c r="J85" t="s">
        <v>27</v>
      </c>
    </row>
    <row r="86" spans="1:10" x14ac:dyDescent="0.25">
      <c r="A86" t="s">
        <v>111</v>
      </c>
      <c r="B86" t="s">
        <v>39</v>
      </c>
      <c r="C86" t="s">
        <v>34</v>
      </c>
      <c r="D86" t="s">
        <v>19</v>
      </c>
      <c r="E86" s="1">
        <v>0.3347222222222222</v>
      </c>
      <c r="F86" s="1">
        <v>6.5972222222222224E-2</v>
      </c>
      <c r="G86">
        <v>0</v>
      </c>
      <c r="H86" t="s">
        <v>14</v>
      </c>
      <c r="I86">
        <v>3593</v>
      </c>
      <c r="J86" t="s">
        <v>20</v>
      </c>
    </row>
    <row r="87" spans="1:10" x14ac:dyDescent="0.25">
      <c r="A87" t="s">
        <v>112</v>
      </c>
      <c r="B87" t="s">
        <v>17</v>
      </c>
      <c r="C87" t="s">
        <v>12</v>
      </c>
      <c r="D87" t="s">
        <v>19</v>
      </c>
      <c r="E87" s="1">
        <v>0.76250000000000007</v>
      </c>
      <c r="F87" s="1">
        <v>0.64583333333333337</v>
      </c>
      <c r="G87">
        <v>9</v>
      </c>
      <c r="H87" t="s">
        <v>29</v>
      </c>
      <c r="I87">
        <v>4808</v>
      </c>
      <c r="J87" t="s">
        <v>27</v>
      </c>
    </row>
    <row r="88" spans="1:10" x14ac:dyDescent="0.25">
      <c r="A88" t="s">
        <v>113</v>
      </c>
      <c r="B88" t="s">
        <v>22</v>
      </c>
      <c r="C88" t="s">
        <v>34</v>
      </c>
      <c r="D88" t="s">
        <v>13</v>
      </c>
      <c r="E88" s="1">
        <v>0.16111111111111112</v>
      </c>
      <c r="F88" s="1">
        <v>0.10069444444444443</v>
      </c>
      <c r="G88">
        <v>66</v>
      </c>
      <c r="H88" t="s">
        <v>23</v>
      </c>
      <c r="I88">
        <v>5228</v>
      </c>
      <c r="J88" t="s">
        <v>15</v>
      </c>
    </row>
    <row r="89" spans="1:10" x14ac:dyDescent="0.25">
      <c r="A89" t="s">
        <v>114</v>
      </c>
      <c r="B89" t="s">
        <v>11</v>
      </c>
      <c r="C89" t="s">
        <v>18</v>
      </c>
      <c r="D89" t="s">
        <v>13</v>
      </c>
      <c r="E89" s="1">
        <v>9.375E-2</v>
      </c>
      <c r="F89" s="1">
        <v>0.14930555555555555</v>
      </c>
      <c r="G89">
        <v>43</v>
      </c>
      <c r="H89" t="s">
        <v>23</v>
      </c>
      <c r="I89">
        <v>4609</v>
      </c>
      <c r="J89" t="s">
        <v>20</v>
      </c>
    </row>
    <row r="90" spans="1:10" x14ac:dyDescent="0.25">
      <c r="A90" t="s">
        <v>115</v>
      </c>
      <c r="B90" t="s">
        <v>22</v>
      </c>
      <c r="C90" t="s">
        <v>18</v>
      </c>
      <c r="D90" t="s">
        <v>19</v>
      </c>
      <c r="E90" s="1">
        <v>0.41319444444444442</v>
      </c>
      <c r="F90" s="1">
        <v>0.76874999999999993</v>
      </c>
      <c r="G90">
        <v>8</v>
      </c>
      <c r="H90" t="s">
        <v>29</v>
      </c>
      <c r="I90">
        <v>3701</v>
      </c>
      <c r="J90" t="s">
        <v>15</v>
      </c>
    </row>
    <row r="91" spans="1:10" x14ac:dyDescent="0.25">
      <c r="A91" t="s">
        <v>116</v>
      </c>
      <c r="B91" t="s">
        <v>39</v>
      </c>
      <c r="C91" t="s">
        <v>18</v>
      </c>
      <c r="D91" t="s">
        <v>13</v>
      </c>
      <c r="E91" s="1">
        <v>0.84236111111111101</v>
      </c>
      <c r="F91" s="1">
        <v>0.36249999999999999</v>
      </c>
      <c r="G91">
        <v>50</v>
      </c>
      <c r="H91" t="s">
        <v>23</v>
      </c>
      <c r="I91">
        <v>1865</v>
      </c>
      <c r="J91" t="s">
        <v>20</v>
      </c>
    </row>
    <row r="92" spans="1:10" x14ac:dyDescent="0.25">
      <c r="A92" t="s">
        <v>117</v>
      </c>
      <c r="B92" t="s">
        <v>39</v>
      </c>
      <c r="C92" t="s">
        <v>34</v>
      </c>
      <c r="D92" t="s">
        <v>26</v>
      </c>
      <c r="E92" s="1">
        <v>1.8055555555555557E-2</v>
      </c>
      <c r="F92" s="1">
        <v>0.61388888888888882</v>
      </c>
      <c r="G92">
        <v>33</v>
      </c>
      <c r="H92" t="s">
        <v>23</v>
      </c>
      <c r="I92">
        <v>5049</v>
      </c>
      <c r="J92" t="s">
        <v>27</v>
      </c>
    </row>
    <row r="93" spans="1:10" x14ac:dyDescent="0.25">
      <c r="A93" t="s">
        <v>118</v>
      </c>
      <c r="B93" t="s">
        <v>11</v>
      </c>
      <c r="C93" t="s">
        <v>13</v>
      </c>
      <c r="D93" t="s">
        <v>26</v>
      </c>
      <c r="E93" s="1">
        <v>0.95486111111111116</v>
      </c>
      <c r="F93" s="1">
        <v>0.58611111111111114</v>
      </c>
      <c r="G93">
        <v>68</v>
      </c>
      <c r="H93" t="s">
        <v>23</v>
      </c>
      <c r="I93">
        <v>3112</v>
      </c>
      <c r="J93" t="s">
        <v>27</v>
      </c>
    </row>
    <row r="94" spans="1:10" x14ac:dyDescent="0.25">
      <c r="A94" t="s">
        <v>119</v>
      </c>
      <c r="B94" t="s">
        <v>39</v>
      </c>
      <c r="C94" t="s">
        <v>12</v>
      </c>
      <c r="D94" t="s">
        <v>18</v>
      </c>
      <c r="E94" s="1">
        <v>0.54652777777777783</v>
      </c>
      <c r="F94" s="1">
        <v>0.71805555555555556</v>
      </c>
      <c r="G94">
        <v>1</v>
      </c>
      <c r="H94" t="s">
        <v>29</v>
      </c>
      <c r="I94">
        <v>2420</v>
      </c>
      <c r="J94" t="s">
        <v>27</v>
      </c>
    </row>
    <row r="95" spans="1:10" x14ac:dyDescent="0.25">
      <c r="A95" t="s">
        <v>120</v>
      </c>
      <c r="B95" t="s">
        <v>11</v>
      </c>
      <c r="C95" t="s">
        <v>34</v>
      </c>
      <c r="D95" t="s">
        <v>13</v>
      </c>
      <c r="E95" s="1">
        <v>0.82430555555555562</v>
      </c>
      <c r="F95" s="1">
        <v>0.79027777777777775</v>
      </c>
      <c r="G95">
        <v>16</v>
      </c>
      <c r="H95" t="s">
        <v>29</v>
      </c>
      <c r="I95">
        <v>3564</v>
      </c>
      <c r="J95" t="s">
        <v>24</v>
      </c>
    </row>
    <row r="96" spans="1:10" x14ac:dyDescent="0.25">
      <c r="A96" t="s">
        <v>121</v>
      </c>
      <c r="B96" t="s">
        <v>22</v>
      </c>
      <c r="C96" t="s">
        <v>13</v>
      </c>
      <c r="D96" t="s">
        <v>18</v>
      </c>
      <c r="E96" s="1">
        <v>0.35555555555555557</v>
      </c>
      <c r="F96" s="1">
        <v>0.72986111111111107</v>
      </c>
      <c r="G96">
        <v>14</v>
      </c>
      <c r="H96" t="s">
        <v>29</v>
      </c>
      <c r="I96">
        <v>4786</v>
      </c>
      <c r="J96" t="s">
        <v>15</v>
      </c>
    </row>
    <row r="97" spans="1:10" x14ac:dyDescent="0.25">
      <c r="A97" t="s">
        <v>122</v>
      </c>
      <c r="B97" t="s">
        <v>11</v>
      </c>
      <c r="C97" t="s">
        <v>18</v>
      </c>
      <c r="D97" t="s">
        <v>13</v>
      </c>
      <c r="E97" s="1">
        <v>0.8027777777777777</v>
      </c>
      <c r="F97" s="1">
        <v>3.472222222222222E-3</v>
      </c>
      <c r="G97">
        <v>0</v>
      </c>
      <c r="H97" t="s">
        <v>29</v>
      </c>
      <c r="I97">
        <v>3075</v>
      </c>
      <c r="J97" t="s">
        <v>15</v>
      </c>
    </row>
    <row r="98" spans="1:10" x14ac:dyDescent="0.25">
      <c r="A98" t="s">
        <v>123</v>
      </c>
      <c r="B98" t="s">
        <v>39</v>
      </c>
      <c r="C98" t="s">
        <v>12</v>
      </c>
      <c r="D98" t="s">
        <v>26</v>
      </c>
      <c r="E98" s="1">
        <v>0.6479166666666667</v>
      </c>
      <c r="F98" s="1">
        <v>0.85277777777777775</v>
      </c>
      <c r="G98">
        <v>41</v>
      </c>
      <c r="H98" t="s">
        <v>23</v>
      </c>
      <c r="I98">
        <v>3478</v>
      </c>
      <c r="J98" t="s">
        <v>20</v>
      </c>
    </row>
    <row r="99" spans="1:10" x14ac:dyDescent="0.25">
      <c r="A99" t="s">
        <v>124</v>
      </c>
      <c r="B99" t="s">
        <v>22</v>
      </c>
      <c r="C99" t="s">
        <v>18</v>
      </c>
      <c r="D99" t="s">
        <v>19</v>
      </c>
      <c r="E99" s="1">
        <v>0.10416666666666667</v>
      </c>
      <c r="F99" s="1">
        <v>0.47638888888888892</v>
      </c>
      <c r="G99">
        <v>40</v>
      </c>
      <c r="H99" t="s">
        <v>23</v>
      </c>
      <c r="I99">
        <v>3930</v>
      </c>
      <c r="J99" t="s">
        <v>27</v>
      </c>
    </row>
    <row r="100" spans="1:10" x14ac:dyDescent="0.25">
      <c r="A100" t="s">
        <v>125</v>
      </c>
      <c r="B100" t="s">
        <v>11</v>
      </c>
      <c r="C100" t="s">
        <v>12</v>
      </c>
      <c r="D100" t="s">
        <v>13</v>
      </c>
      <c r="E100" s="1">
        <v>0.57222222222222219</v>
      </c>
      <c r="F100" s="1">
        <v>0.63750000000000007</v>
      </c>
      <c r="G100">
        <v>30</v>
      </c>
      <c r="H100" t="s">
        <v>23</v>
      </c>
      <c r="I100">
        <v>4480</v>
      </c>
      <c r="J100" t="s">
        <v>15</v>
      </c>
    </row>
    <row r="101" spans="1:10" x14ac:dyDescent="0.25">
      <c r="A101" t="s">
        <v>126</v>
      </c>
      <c r="B101" t="s">
        <v>11</v>
      </c>
      <c r="C101" t="s">
        <v>19</v>
      </c>
      <c r="D101" t="s">
        <v>13</v>
      </c>
      <c r="E101" s="1">
        <v>0.15902777777777777</v>
      </c>
      <c r="F101" s="1">
        <v>0.53819444444444442</v>
      </c>
      <c r="G101">
        <v>20</v>
      </c>
      <c r="H101" t="s">
        <v>29</v>
      </c>
      <c r="I101">
        <v>5415</v>
      </c>
      <c r="J101" t="s">
        <v>15</v>
      </c>
    </row>
    <row r="102" spans="1:10" x14ac:dyDescent="0.25">
      <c r="A102" t="s">
        <v>127</v>
      </c>
      <c r="B102" t="s">
        <v>17</v>
      </c>
      <c r="C102" t="s">
        <v>12</v>
      </c>
      <c r="D102" t="s">
        <v>18</v>
      </c>
      <c r="E102" s="1">
        <v>0.27291666666666664</v>
      </c>
      <c r="F102" s="1">
        <v>0.48541666666666666</v>
      </c>
      <c r="G102">
        <v>0</v>
      </c>
      <c r="H102" t="s">
        <v>29</v>
      </c>
      <c r="I102">
        <v>5283</v>
      </c>
      <c r="J102" t="s">
        <v>24</v>
      </c>
    </row>
    <row r="103" spans="1:10" x14ac:dyDescent="0.25">
      <c r="A103" t="s">
        <v>128</v>
      </c>
      <c r="B103" t="s">
        <v>39</v>
      </c>
      <c r="C103" t="s">
        <v>13</v>
      </c>
      <c r="D103" t="s">
        <v>26</v>
      </c>
      <c r="E103" s="1">
        <v>0.39444444444444443</v>
      </c>
      <c r="F103" s="1">
        <v>0.93819444444444444</v>
      </c>
      <c r="G103">
        <v>13</v>
      </c>
      <c r="H103" t="s">
        <v>29</v>
      </c>
      <c r="I103">
        <v>2194</v>
      </c>
      <c r="J103" t="s">
        <v>15</v>
      </c>
    </row>
    <row r="104" spans="1:10" x14ac:dyDescent="0.25">
      <c r="A104" t="s">
        <v>129</v>
      </c>
      <c r="B104" t="s">
        <v>39</v>
      </c>
      <c r="C104" t="s">
        <v>12</v>
      </c>
      <c r="D104" t="s">
        <v>18</v>
      </c>
      <c r="E104" s="1">
        <v>0.39930555555555558</v>
      </c>
      <c r="F104" s="1">
        <v>2.4305555555555556E-2</v>
      </c>
      <c r="G104">
        <v>16</v>
      </c>
      <c r="H104" t="s">
        <v>29</v>
      </c>
      <c r="I104">
        <v>4542</v>
      </c>
      <c r="J104" t="s">
        <v>15</v>
      </c>
    </row>
    <row r="105" spans="1:10" x14ac:dyDescent="0.25">
      <c r="A105" t="s">
        <v>130</v>
      </c>
      <c r="B105" t="s">
        <v>17</v>
      </c>
      <c r="C105" t="s">
        <v>34</v>
      </c>
      <c r="D105" t="s">
        <v>13</v>
      </c>
      <c r="E105" s="1">
        <v>0.87013888888888891</v>
      </c>
      <c r="F105" s="1">
        <v>0.18819444444444444</v>
      </c>
      <c r="G105">
        <v>0</v>
      </c>
      <c r="H105" t="s">
        <v>29</v>
      </c>
      <c r="I105">
        <v>3590</v>
      </c>
      <c r="J105" t="s">
        <v>27</v>
      </c>
    </row>
    <row r="106" spans="1:10" x14ac:dyDescent="0.25">
      <c r="A106" t="s">
        <v>131</v>
      </c>
      <c r="B106" t="s">
        <v>39</v>
      </c>
      <c r="C106" t="s">
        <v>19</v>
      </c>
      <c r="D106" t="s">
        <v>18</v>
      </c>
      <c r="E106" s="1">
        <v>0.60763888888888895</v>
      </c>
      <c r="F106" s="1">
        <v>0.18333333333333335</v>
      </c>
      <c r="G106">
        <v>23</v>
      </c>
      <c r="H106" t="s">
        <v>23</v>
      </c>
      <c r="I106">
        <v>2761</v>
      </c>
      <c r="J106" t="s">
        <v>20</v>
      </c>
    </row>
    <row r="107" spans="1:10" x14ac:dyDescent="0.25">
      <c r="A107" t="s">
        <v>132</v>
      </c>
      <c r="B107" t="s">
        <v>22</v>
      </c>
      <c r="C107" t="s">
        <v>13</v>
      </c>
      <c r="D107" t="s">
        <v>19</v>
      </c>
      <c r="E107" s="1">
        <v>0.45763888888888887</v>
      </c>
      <c r="F107" s="1">
        <v>0.67847222222222225</v>
      </c>
      <c r="G107">
        <v>46</v>
      </c>
      <c r="H107" t="s">
        <v>23</v>
      </c>
      <c r="I107">
        <v>1221</v>
      </c>
      <c r="J107" t="s">
        <v>27</v>
      </c>
    </row>
    <row r="108" spans="1:10" x14ac:dyDescent="0.25">
      <c r="A108" t="s">
        <v>133</v>
      </c>
      <c r="B108" t="s">
        <v>22</v>
      </c>
      <c r="C108" t="s">
        <v>12</v>
      </c>
      <c r="D108" t="s">
        <v>26</v>
      </c>
      <c r="E108" s="1">
        <v>0.18611111111111112</v>
      </c>
      <c r="F108" s="1">
        <v>0.72916666666666663</v>
      </c>
      <c r="G108">
        <v>105</v>
      </c>
      <c r="H108" t="s">
        <v>23</v>
      </c>
      <c r="I108">
        <v>4027</v>
      </c>
      <c r="J108" t="s">
        <v>27</v>
      </c>
    </row>
    <row r="109" spans="1:10" x14ac:dyDescent="0.25">
      <c r="A109" t="s">
        <v>134</v>
      </c>
      <c r="B109" t="s">
        <v>11</v>
      </c>
      <c r="C109" t="s">
        <v>18</v>
      </c>
      <c r="D109" t="s">
        <v>12</v>
      </c>
      <c r="E109" s="1">
        <v>0.28055555555555556</v>
      </c>
      <c r="F109" s="1">
        <v>0.31666666666666665</v>
      </c>
      <c r="G109">
        <v>36</v>
      </c>
      <c r="H109" t="s">
        <v>23</v>
      </c>
      <c r="I109">
        <v>4337</v>
      </c>
      <c r="J109" t="s">
        <v>20</v>
      </c>
    </row>
    <row r="110" spans="1:10" x14ac:dyDescent="0.25">
      <c r="A110" t="s">
        <v>135</v>
      </c>
      <c r="B110" t="s">
        <v>22</v>
      </c>
      <c r="C110" t="s">
        <v>19</v>
      </c>
      <c r="D110" t="s">
        <v>13</v>
      </c>
      <c r="E110" s="1">
        <v>0.95694444444444438</v>
      </c>
      <c r="F110" s="1">
        <v>0.51666666666666672</v>
      </c>
      <c r="G110">
        <v>40</v>
      </c>
      <c r="H110" t="s">
        <v>23</v>
      </c>
      <c r="I110">
        <v>2446</v>
      </c>
      <c r="J110" t="s">
        <v>24</v>
      </c>
    </row>
    <row r="111" spans="1:10" x14ac:dyDescent="0.25">
      <c r="A111" t="s">
        <v>136</v>
      </c>
      <c r="B111" t="s">
        <v>11</v>
      </c>
      <c r="C111" t="s">
        <v>13</v>
      </c>
      <c r="D111" t="s">
        <v>26</v>
      </c>
      <c r="E111" s="1">
        <v>0.16319444444444445</v>
      </c>
      <c r="F111" s="1">
        <v>0.58750000000000002</v>
      </c>
      <c r="G111">
        <v>27</v>
      </c>
      <c r="H111" t="s">
        <v>23</v>
      </c>
      <c r="I111">
        <v>5508</v>
      </c>
      <c r="J111" t="s">
        <v>24</v>
      </c>
    </row>
    <row r="112" spans="1:10" x14ac:dyDescent="0.25">
      <c r="A112" t="s">
        <v>137</v>
      </c>
      <c r="B112" t="s">
        <v>39</v>
      </c>
      <c r="C112" t="s">
        <v>13</v>
      </c>
      <c r="D112" t="s">
        <v>26</v>
      </c>
      <c r="E112" s="1">
        <v>0.10416666666666667</v>
      </c>
      <c r="F112" s="1">
        <v>0.34791666666666665</v>
      </c>
      <c r="G112">
        <v>0</v>
      </c>
      <c r="H112" t="s">
        <v>29</v>
      </c>
      <c r="I112">
        <v>4456</v>
      </c>
      <c r="J112" t="s">
        <v>15</v>
      </c>
    </row>
    <row r="113" spans="1:10" x14ac:dyDescent="0.25">
      <c r="A113" t="s">
        <v>138</v>
      </c>
      <c r="B113" t="s">
        <v>11</v>
      </c>
      <c r="C113" t="s">
        <v>26</v>
      </c>
      <c r="D113" t="s">
        <v>12</v>
      </c>
      <c r="E113" s="1">
        <v>0.86458333333333337</v>
      </c>
      <c r="F113" s="1">
        <v>0.66319444444444442</v>
      </c>
      <c r="G113">
        <v>28</v>
      </c>
      <c r="H113" t="s">
        <v>23</v>
      </c>
      <c r="I113">
        <v>5632</v>
      </c>
      <c r="J113" t="s">
        <v>15</v>
      </c>
    </row>
    <row r="114" spans="1:10" x14ac:dyDescent="0.25">
      <c r="A114" t="s">
        <v>139</v>
      </c>
      <c r="B114" t="s">
        <v>11</v>
      </c>
      <c r="C114" t="s">
        <v>18</v>
      </c>
      <c r="D114" t="s">
        <v>13</v>
      </c>
      <c r="E114" s="1">
        <v>0.32430555555555557</v>
      </c>
      <c r="F114" s="1">
        <v>0.10208333333333335</v>
      </c>
      <c r="G114">
        <v>32</v>
      </c>
      <c r="H114" t="s">
        <v>23</v>
      </c>
      <c r="I114">
        <v>2006</v>
      </c>
      <c r="J114" t="s">
        <v>15</v>
      </c>
    </row>
    <row r="115" spans="1:10" x14ac:dyDescent="0.25">
      <c r="A115" t="s">
        <v>140</v>
      </c>
      <c r="B115" t="s">
        <v>17</v>
      </c>
      <c r="C115" t="s">
        <v>19</v>
      </c>
      <c r="D115" t="s">
        <v>34</v>
      </c>
      <c r="E115" s="1">
        <v>5.5555555555555552E-2</v>
      </c>
      <c r="F115" s="1">
        <v>5.4166666666666669E-2</v>
      </c>
      <c r="G115">
        <v>128</v>
      </c>
      <c r="H115" t="s">
        <v>23</v>
      </c>
      <c r="I115">
        <v>4136</v>
      </c>
      <c r="J115" t="s">
        <v>27</v>
      </c>
    </row>
    <row r="116" spans="1:10" x14ac:dyDescent="0.25">
      <c r="A116" t="s">
        <v>141</v>
      </c>
      <c r="B116" t="s">
        <v>22</v>
      </c>
      <c r="C116" t="s">
        <v>19</v>
      </c>
      <c r="D116" t="s">
        <v>34</v>
      </c>
      <c r="E116" s="1">
        <v>0.77986111111111101</v>
      </c>
      <c r="F116" s="1">
        <v>0.21527777777777779</v>
      </c>
      <c r="G116">
        <v>22</v>
      </c>
      <c r="H116" t="s">
        <v>23</v>
      </c>
      <c r="I116">
        <v>2634</v>
      </c>
      <c r="J116" t="s">
        <v>15</v>
      </c>
    </row>
    <row r="117" spans="1:10" x14ac:dyDescent="0.25">
      <c r="A117" t="s">
        <v>142</v>
      </c>
      <c r="B117" t="s">
        <v>39</v>
      </c>
      <c r="C117" t="s">
        <v>18</v>
      </c>
      <c r="D117" t="s">
        <v>19</v>
      </c>
      <c r="E117" s="1">
        <v>0.66527777777777775</v>
      </c>
      <c r="F117" s="1">
        <v>0.75624999999999998</v>
      </c>
      <c r="G117">
        <v>42</v>
      </c>
      <c r="H117" t="s">
        <v>23</v>
      </c>
      <c r="I117">
        <v>3102</v>
      </c>
      <c r="J117" t="s">
        <v>24</v>
      </c>
    </row>
    <row r="118" spans="1:10" x14ac:dyDescent="0.25">
      <c r="A118" t="s">
        <v>143</v>
      </c>
      <c r="B118" t="s">
        <v>17</v>
      </c>
      <c r="C118" t="s">
        <v>12</v>
      </c>
      <c r="D118" t="s">
        <v>26</v>
      </c>
      <c r="E118" s="1">
        <v>0.62291666666666667</v>
      </c>
      <c r="F118" s="1">
        <v>0.40486111111111112</v>
      </c>
      <c r="G118">
        <v>28</v>
      </c>
      <c r="H118" t="s">
        <v>23</v>
      </c>
      <c r="I118">
        <v>5677</v>
      </c>
      <c r="J118" t="s">
        <v>20</v>
      </c>
    </row>
    <row r="119" spans="1:10" x14ac:dyDescent="0.25">
      <c r="A119" t="s">
        <v>144</v>
      </c>
      <c r="B119" t="s">
        <v>11</v>
      </c>
      <c r="C119" t="s">
        <v>13</v>
      </c>
      <c r="D119" t="s">
        <v>18</v>
      </c>
      <c r="E119" s="1">
        <v>0.8520833333333333</v>
      </c>
      <c r="F119" s="1">
        <v>0.9277777777777777</v>
      </c>
      <c r="G119">
        <v>0</v>
      </c>
      <c r="H119" t="s">
        <v>29</v>
      </c>
      <c r="I119">
        <v>4942</v>
      </c>
      <c r="J119" t="s">
        <v>27</v>
      </c>
    </row>
    <row r="120" spans="1:10" x14ac:dyDescent="0.25">
      <c r="A120" t="s">
        <v>145</v>
      </c>
      <c r="B120" t="s">
        <v>17</v>
      </c>
      <c r="C120" t="s">
        <v>34</v>
      </c>
      <c r="D120" t="s">
        <v>18</v>
      </c>
      <c r="E120" s="1">
        <v>0.30833333333333335</v>
      </c>
      <c r="F120" s="1">
        <v>0.76527777777777783</v>
      </c>
      <c r="G120">
        <v>75</v>
      </c>
      <c r="H120" t="s">
        <v>23</v>
      </c>
      <c r="I120">
        <v>5908</v>
      </c>
      <c r="J120" t="s">
        <v>27</v>
      </c>
    </row>
    <row r="121" spans="1:10" x14ac:dyDescent="0.25">
      <c r="A121" t="s">
        <v>146</v>
      </c>
      <c r="B121" t="s">
        <v>22</v>
      </c>
      <c r="C121" t="s">
        <v>12</v>
      </c>
      <c r="D121" t="s">
        <v>26</v>
      </c>
      <c r="E121" s="1">
        <v>0.33333333333333331</v>
      </c>
      <c r="F121" s="1">
        <v>0.78819444444444453</v>
      </c>
      <c r="G121">
        <v>0</v>
      </c>
      <c r="H121" t="s">
        <v>14</v>
      </c>
      <c r="I121">
        <v>1601</v>
      </c>
      <c r="J121" t="s">
        <v>24</v>
      </c>
    </row>
    <row r="122" spans="1:10" x14ac:dyDescent="0.25">
      <c r="A122" t="s">
        <v>147</v>
      </c>
      <c r="B122" t="s">
        <v>11</v>
      </c>
      <c r="C122" t="s">
        <v>26</v>
      </c>
      <c r="D122" t="s">
        <v>34</v>
      </c>
      <c r="E122" s="1">
        <v>0.31944444444444448</v>
      </c>
      <c r="F122" s="1">
        <v>0.27708333333333335</v>
      </c>
      <c r="G122">
        <v>61</v>
      </c>
      <c r="H122" t="s">
        <v>23</v>
      </c>
      <c r="I122">
        <v>3253</v>
      </c>
      <c r="J122" t="s">
        <v>20</v>
      </c>
    </row>
    <row r="123" spans="1:10" x14ac:dyDescent="0.25">
      <c r="A123" t="s">
        <v>148</v>
      </c>
      <c r="B123" t="s">
        <v>17</v>
      </c>
      <c r="C123" t="s">
        <v>12</v>
      </c>
      <c r="D123" t="s">
        <v>13</v>
      </c>
      <c r="E123" s="1">
        <v>0.40972222222222227</v>
      </c>
      <c r="F123" s="1">
        <v>0.58472222222222225</v>
      </c>
      <c r="G123">
        <v>0</v>
      </c>
      <c r="H123" t="s">
        <v>29</v>
      </c>
      <c r="I123">
        <v>5947</v>
      </c>
      <c r="J123" t="s">
        <v>27</v>
      </c>
    </row>
    <row r="124" spans="1:10" x14ac:dyDescent="0.25">
      <c r="A124" t="s">
        <v>149</v>
      </c>
      <c r="B124" t="s">
        <v>11</v>
      </c>
      <c r="C124" t="s">
        <v>12</v>
      </c>
      <c r="D124" t="s">
        <v>34</v>
      </c>
      <c r="E124" s="1">
        <v>0.44930555555555557</v>
      </c>
      <c r="F124" s="1">
        <v>0.5493055555555556</v>
      </c>
      <c r="G124">
        <v>86</v>
      </c>
      <c r="H124" t="s">
        <v>23</v>
      </c>
      <c r="I124">
        <v>2844</v>
      </c>
      <c r="J124" t="s">
        <v>20</v>
      </c>
    </row>
    <row r="125" spans="1:10" x14ac:dyDescent="0.25">
      <c r="A125" t="s">
        <v>150</v>
      </c>
      <c r="B125" t="s">
        <v>11</v>
      </c>
      <c r="C125" t="s">
        <v>18</v>
      </c>
      <c r="D125" t="s">
        <v>26</v>
      </c>
      <c r="E125" s="1">
        <v>0.21944444444444444</v>
      </c>
      <c r="F125" s="1">
        <v>0.66041666666666665</v>
      </c>
      <c r="G125">
        <v>0</v>
      </c>
      <c r="H125" t="s">
        <v>29</v>
      </c>
      <c r="I125">
        <v>3617</v>
      </c>
      <c r="J125" t="s">
        <v>27</v>
      </c>
    </row>
    <row r="126" spans="1:10" x14ac:dyDescent="0.25">
      <c r="A126" t="s">
        <v>151</v>
      </c>
      <c r="B126" t="s">
        <v>39</v>
      </c>
      <c r="C126" t="s">
        <v>13</v>
      </c>
      <c r="D126" t="s">
        <v>18</v>
      </c>
      <c r="E126" s="1">
        <v>0.3298611111111111</v>
      </c>
      <c r="F126" s="1">
        <v>0.90694444444444444</v>
      </c>
      <c r="G126">
        <v>53</v>
      </c>
      <c r="H126" t="s">
        <v>23</v>
      </c>
      <c r="I126">
        <v>4455</v>
      </c>
      <c r="J126" t="s">
        <v>27</v>
      </c>
    </row>
    <row r="127" spans="1:10" x14ac:dyDescent="0.25">
      <c r="A127" t="s">
        <v>152</v>
      </c>
      <c r="B127" t="s">
        <v>17</v>
      </c>
      <c r="C127" t="s">
        <v>13</v>
      </c>
      <c r="D127" t="s">
        <v>18</v>
      </c>
      <c r="E127" s="1">
        <v>0.59930555555555554</v>
      </c>
      <c r="F127" s="1">
        <v>0.90763888888888899</v>
      </c>
      <c r="G127">
        <v>0</v>
      </c>
      <c r="H127" t="s">
        <v>14</v>
      </c>
      <c r="I127">
        <v>3347</v>
      </c>
      <c r="J127" t="s">
        <v>24</v>
      </c>
    </row>
    <row r="128" spans="1:10" x14ac:dyDescent="0.25">
      <c r="A128" t="s">
        <v>153</v>
      </c>
      <c r="B128" t="s">
        <v>39</v>
      </c>
      <c r="C128" t="s">
        <v>12</v>
      </c>
      <c r="D128" t="s">
        <v>26</v>
      </c>
      <c r="E128" s="1">
        <v>0.62569444444444444</v>
      </c>
      <c r="F128" s="1">
        <v>0.8305555555555556</v>
      </c>
      <c r="G128">
        <v>0</v>
      </c>
      <c r="H128" t="s">
        <v>29</v>
      </c>
      <c r="I128">
        <v>5799</v>
      </c>
      <c r="J128" t="s">
        <v>27</v>
      </c>
    </row>
    <row r="129" spans="1:10" x14ac:dyDescent="0.25">
      <c r="A129" t="s">
        <v>154</v>
      </c>
      <c r="B129" t="s">
        <v>22</v>
      </c>
      <c r="C129" t="s">
        <v>18</v>
      </c>
      <c r="D129" t="s">
        <v>34</v>
      </c>
      <c r="E129" s="1">
        <v>0.92986111111111114</v>
      </c>
      <c r="F129" s="1">
        <v>0.85138888888888886</v>
      </c>
      <c r="G129">
        <v>7</v>
      </c>
      <c r="H129" t="s">
        <v>29</v>
      </c>
      <c r="I129">
        <v>2155</v>
      </c>
      <c r="J129" t="s">
        <v>20</v>
      </c>
    </row>
    <row r="130" spans="1:10" x14ac:dyDescent="0.25">
      <c r="A130" t="s">
        <v>155</v>
      </c>
      <c r="B130" t="s">
        <v>22</v>
      </c>
      <c r="C130" t="s">
        <v>13</v>
      </c>
      <c r="D130" t="s">
        <v>34</v>
      </c>
      <c r="E130" s="1">
        <v>0.12916666666666668</v>
      </c>
      <c r="F130" s="1">
        <v>0.33055555555555555</v>
      </c>
      <c r="G130">
        <v>33</v>
      </c>
      <c r="H130" t="s">
        <v>23</v>
      </c>
      <c r="I130">
        <v>5603</v>
      </c>
      <c r="J130" t="s">
        <v>20</v>
      </c>
    </row>
    <row r="131" spans="1:10" x14ac:dyDescent="0.25">
      <c r="A131" t="s">
        <v>156</v>
      </c>
      <c r="B131" t="s">
        <v>22</v>
      </c>
      <c r="C131" t="s">
        <v>19</v>
      </c>
      <c r="D131" t="s">
        <v>18</v>
      </c>
      <c r="E131" s="1">
        <v>0.78263888888888899</v>
      </c>
      <c r="F131" s="1">
        <v>0.96458333333333324</v>
      </c>
      <c r="G131">
        <v>9</v>
      </c>
      <c r="H131" t="s">
        <v>29</v>
      </c>
      <c r="I131">
        <v>4598</v>
      </c>
      <c r="J131" t="s">
        <v>15</v>
      </c>
    </row>
    <row r="132" spans="1:10" x14ac:dyDescent="0.25">
      <c r="A132" t="s">
        <v>157</v>
      </c>
      <c r="B132" t="s">
        <v>11</v>
      </c>
      <c r="C132" t="s">
        <v>19</v>
      </c>
      <c r="D132" t="s">
        <v>12</v>
      </c>
      <c r="E132" s="1">
        <v>7.2222222222222229E-2</v>
      </c>
      <c r="F132" s="1">
        <v>0.46736111111111112</v>
      </c>
      <c r="G132">
        <v>0</v>
      </c>
      <c r="H132" t="s">
        <v>29</v>
      </c>
      <c r="I132">
        <v>4832</v>
      </c>
      <c r="J132" t="s">
        <v>24</v>
      </c>
    </row>
    <row r="133" spans="1:10" x14ac:dyDescent="0.25">
      <c r="A133" t="s">
        <v>158</v>
      </c>
      <c r="B133" t="s">
        <v>11</v>
      </c>
      <c r="C133" t="s">
        <v>34</v>
      </c>
      <c r="D133" t="s">
        <v>19</v>
      </c>
      <c r="E133" s="1">
        <v>0.74791666666666667</v>
      </c>
      <c r="F133" s="1">
        <v>0.84861111111111109</v>
      </c>
      <c r="G133">
        <v>32</v>
      </c>
      <c r="H133" t="s">
        <v>23</v>
      </c>
      <c r="I133">
        <v>1696</v>
      </c>
      <c r="J133" t="s">
        <v>24</v>
      </c>
    </row>
    <row r="134" spans="1:10" x14ac:dyDescent="0.25">
      <c r="A134" t="s">
        <v>159</v>
      </c>
      <c r="B134" t="s">
        <v>22</v>
      </c>
      <c r="C134" t="s">
        <v>26</v>
      </c>
      <c r="D134" t="s">
        <v>34</v>
      </c>
      <c r="E134" s="1">
        <v>0.1125</v>
      </c>
      <c r="F134" s="1">
        <v>0.27847222222222223</v>
      </c>
      <c r="G134">
        <v>0</v>
      </c>
      <c r="H134" t="s">
        <v>29</v>
      </c>
      <c r="I134">
        <v>1374</v>
      </c>
      <c r="J134" t="s">
        <v>15</v>
      </c>
    </row>
    <row r="135" spans="1:10" x14ac:dyDescent="0.25">
      <c r="A135" t="s">
        <v>160</v>
      </c>
      <c r="B135" t="s">
        <v>39</v>
      </c>
      <c r="C135" t="s">
        <v>26</v>
      </c>
      <c r="D135" t="s">
        <v>34</v>
      </c>
      <c r="E135" s="1">
        <v>0.12013888888888889</v>
      </c>
      <c r="F135" s="1">
        <v>0.71736111111111101</v>
      </c>
      <c r="G135">
        <v>48</v>
      </c>
      <c r="H135" t="s">
        <v>23</v>
      </c>
      <c r="I135">
        <v>2969</v>
      </c>
      <c r="J135" t="s">
        <v>20</v>
      </c>
    </row>
    <row r="136" spans="1:10" x14ac:dyDescent="0.25">
      <c r="A136" t="s">
        <v>161</v>
      </c>
      <c r="B136" t="s">
        <v>17</v>
      </c>
      <c r="C136" t="s">
        <v>26</v>
      </c>
      <c r="D136" t="s">
        <v>34</v>
      </c>
      <c r="E136" s="1">
        <v>0.37083333333333335</v>
      </c>
      <c r="F136" s="1">
        <v>0.17222222222222225</v>
      </c>
      <c r="G136">
        <v>0</v>
      </c>
      <c r="H136" t="s">
        <v>29</v>
      </c>
      <c r="I136">
        <v>5625</v>
      </c>
      <c r="J136" t="s">
        <v>27</v>
      </c>
    </row>
    <row r="137" spans="1:10" x14ac:dyDescent="0.25">
      <c r="A137" t="s">
        <v>162</v>
      </c>
      <c r="B137" t="s">
        <v>17</v>
      </c>
      <c r="C137" t="s">
        <v>34</v>
      </c>
      <c r="D137" t="s">
        <v>13</v>
      </c>
      <c r="E137" s="1">
        <v>0.16666666666666666</v>
      </c>
      <c r="F137" s="1">
        <v>0.49305555555555558</v>
      </c>
      <c r="G137">
        <v>91</v>
      </c>
      <c r="H137" t="s">
        <v>23</v>
      </c>
      <c r="I137">
        <v>3149</v>
      </c>
      <c r="J137" t="s">
        <v>27</v>
      </c>
    </row>
    <row r="138" spans="1:10" x14ac:dyDescent="0.25">
      <c r="A138" t="s">
        <v>163</v>
      </c>
      <c r="B138" t="s">
        <v>39</v>
      </c>
      <c r="C138" t="s">
        <v>13</v>
      </c>
      <c r="D138" t="s">
        <v>26</v>
      </c>
      <c r="E138" s="1">
        <v>0.97638888888888886</v>
      </c>
      <c r="F138" s="1">
        <v>0.67152777777777783</v>
      </c>
      <c r="G138">
        <v>0</v>
      </c>
      <c r="H138" t="s">
        <v>29</v>
      </c>
      <c r="I138">
        <v>1720</v>
      </c>
      <c r="J138" t="s">
        <v>24</v>
      </c>
    </row>
    <row r="139" spans="1:10" x14ac:dyDescent="0.25">
      <c r="A139" t="s">
        <v>164</v>
      </c>
      <c r="B139" t="s">
        <v>17</v>
      </c>
      <c r="C139" t="s">
        <v>19</v>
      </c>
      <c r="D139" t="s">
        <v>26</v>
      </c>
      <c r="E139" s="1">
        <v>0.60555555555555551</v>
      </c>
      <c r="F139" s="1">
        <v>0.31875000000000003</v>
      </c>
      <c r="G139">
        <v>17</v>
      </c>
      <c r="H139" t="s">
        <v>29</v>
      </c>
      <c r="I139">
        <v>1555</v>
      </c>
      <c r="J139" t="s">
        <v>27</v>
      </c>
    </row>
    <row r="140" spans="1:10" x14ac:dyDescent="0.25">
      <c r="A140" t="s">
        <v>165</v>
      </c>
      <c r="B140" t="s">
        <v>22</v>
      </c>
      <c r="C140" t="s">
        <v>19</v>
      </c>
      <c r="D140" t="s">
        <v>13</v>
      </c>
      <c r="E140" s="1">
        <v>0.51874999999999993</v>
      </c>
      <c r="F140" s="1">
        <v>0.87916666666666676</v>
      </c>
      <c r="G140">
        <v>62</v>
      </c>
      <c r="H140" t="s">
        <v>23</v>
      </c>
      <c r="I140">
        <v>5216</v>
      </c>
      <c r="J140" t="s">
        <v>24</v>
      </c>
    </row>
    <row r="141" spans="1:10" x14ac:dyDescent="0.25">
      <c r="A141" t="s">
        <v>166</v>
      </c>
      <c r="B141" t="s">
        <v>39</v>
      </c>
      <c r="C141" t="s">
        <v>13</v>
      </c>
      <c r="D141" t="s">
        <v>34</v>
      </c>
      <c r="E141" s="1">
        <v>8.8888888888888892E-2</v>
      </c>
      <c r="F141" s="1">
        <v>0.36041666666666666</v>
      </c>
      <c r="G141">
        <v>0</v>
      </c>
      <c r="H141" t="s">
        <v>29</v>
      </c>
      <c r="I141">
        <v>5995</v>
      </c>
      <c r="J141" t="s">
        <v>27</v>
      </c>
    </row>
    <row r="142" spans="1:10" x14ac:dyDescent="0.25">
      <c r="A142" t="s">
        <v>167</v>
      </c>
      <c r="B142" t="s">
        <v>22</v>
      </c>
      <c r="C142" t="s">
        <v>19</v>
      </c>
      <c r="D142" t="s">
        <v>12</v>
      </c>
      <c r="E142" s="1">
        <v>0.69305555555555554</v>
      </c>
      <c r="F142" s="1">
        <v>0.54583333333333328</v>
      </c>
      <c r="G142">
        <v>39</v>
      </c>
      <c r="H142" t="s">
        <v>23</v>
      </c>
      <c r="I142">
        <v>2137</v>
      </c>
      <c r="J142" t="s">
        <v>20</v>
      </c>
    </row>
    <row r="143" spans="1:10" x14ac:dyDescent="0.25">
      <c r="A143" t="s">
        <v>168</v>
      </c>
      <c r="B143" t="s">
        <v>22</v>
      </c>
      <c r="C143" t="s">
        <v>19</v>
      </c>
      <c r="D143" t="s">
        <v>18</v>
      </c>
      <c r="E143" s="1">
        <v>0.45277777777777778</v>
      </c>
      <c r="F143" s="1">
        <v>0.60069444444444442</v>
      </c>
      <c r="G143">
        <v>82</v>
      </c>
      <c r="H143" t="s">
        <v>23</v>
      </c>
      <c r="I143">
        <v>4607</v>
      </c>
      <c r="J143" t="s">
        <v>15</v>
      </c>
    </row>
    <row r="144" spans="1:10" x14ac:dyDescent="0.25">
      <c r="A144" t="s">
        <v>169</v>
      </c>
      <c r="B144" t="s">
        <v>11</v>
      </c>
      <c r="C144" t="s">
        <v>26</v>
      </c>
      <c r="D144" t="s">
        <v>18</v>
      </c>
      <c r="E144" s="1">
        <v>0.46458333333333335</v>
      </c>
      <c r="F144" s="1">
        <v>0.9159722222222223</v>
      </c>
      <c r="G144">
        <v>0</v>
      </c>
      <c r="H144" t="s">
        <v>29</v>
      </c>
      <c r="I144">
        <v>5085</v>
      </c>
      <c r="J144" t="s">
        <v>15</v>
      </c>
    </row>
    <row r="145" spans="1:10" x14ac:dyDescent="0.25">
      <c r="A145" t="s">
        <v>170</v>
      </c>
      <c r="B145" t="s">
        <v>17</v>
      </c>
      <c r="C145" t="s">
        <v>13</v>
      </c>
      <c r="D145" t="s">
        <v>34</v>
      </c>
      <c r="E145" s="1">
        <v>0.99097222222222225</v>
      </c>
      <c r="F145" s="1">
        <v>0.49374999999999997</v>
      </c>
      <c r="G145">
        <v>37</v>
      </c>
      <c r="H145" t="s">
        <v>23</v>
      </c>
      <c r="I145">
        <v>2265</v>
      </c>
      <c r="J145" t="s">
        <v>15</v>
      </c>
    </row>
    <row r="146" spans="1:10" x14ac:dyDescent="0.25">
      <c r="A146" t="s">
        <v>171</v>
      </c>
      <c r="B146" t="s">
        <v>17</v>
      </c>
      <c r="C146" t="s">
        <v>18</v>
      </c>
      <c r="D146" t="s">
        <v>12</v>
      </c>
      <c r="E146" s="1">
        <v>0.55694444444444446</v>
      </c>
      <c r="F146" s="1">
        <v>0.90833333333333333</v>
      </c>
      <c r="G146">
        <v>40</v>
      </c>
      <c r="H146" t="s">
        <v>23</v>
      </c>
      <c r="I146">
        <v>4664</v>
      </c>
      <c r="J146" t="s">
        <v>15</v>
      </c>
    </row>
    <row r="147" spans="1:10" x14ac:dyDescent="0.25">
      <c r="A147" t="s">
        <v>172</v>
      </c>
      <c r="B147" t="s">
        <v>17</v>
      </c>
      <c r="C147" t="s">
        <v>26</v>
      </c>
      <c r="D147" t="s">
        <v>12</v>
      </c>
      <c r="E147" s="1">
        <v>0.77222222222222225</v>
      </c>
      <c r="F147" s="1">
        <v>0.25625000000000003</v>
      </c>
      <c r="G147">
        <v>61</v>
      </c>
      <c r="H147" t="s">
        <v>23</v>
      </c>
      <c r="I147">
        <v>5150</v>
      </c>
      <c r="J147" t="s">
        <v>20</v>
      </c>
    </row>
    <row r="148" spans="1:10" x14ac:dyDescent="0.25">
      <c r="A148" t="s">
        <v>173</v>
      </c>
      <c r="B148" t="s">
        <v>11</v>
      </c>
      <c r="C148" t="s">
        <v>13</v>
      </c>
      <c r="D148" t="s">
        <v>19</v>
      </c>
      <c r="E148" s="1">
        <v>0.15833333333333333</v>
      </c>
      <c r="F148" s="1">
        <v>0.35833333333333334</v>
      </c>
      <c r="G148">
        <v>0</v>
      </c>
      <c r="H148" t="s">
        <v>29</v>
      </c>
      <c r="I148">
        <v>3052</v>
      </c>
      <c r="J148" t="s">
        <v>24</v>
      </c>
    </row>
    <row r="149" spans="1:10" x14ac:dyDescent="0.25">
      <c r="A149" t="s">
        <v>174</v>
      </c>
      <c r="B149" t="s">
        <v>17</v>
      </c>
      <c r="C149" t="s">
        <v>18</v>
      </c>
      <c r="D149" t="s">
        <v>12</v>
      </c>
      <c r="E149" s="1">
        <v>0.83263888888888893</v>
      </c>
      <c r="F149" s="1">
        <v>0.91180555555555554</v>
      </c>
      <c r="G149">
        <v>0</v>
      </c>
      <c r="H149" t="s">
        <v>29</v>
      </c>
      <c r="I149">
        <v>3390</v>
      </c>
      <c r="J149" t="s">
        <v>15</v>
      </c>
    </row>
    <row r="150" spans="1:10" x14ac:dyDescent="0.25">
      <c r="A150" t="s">
        <v>175</v>
      </c>
      <c r="B150" t="s">
        <v>11</v>
      </c>
      <c r="C150" t="s">
        <v>34</v>
      </c>
      <c r="D150" t="s">
        <v>19</v>
      </c>
      <c r="E150" s="1">
        <v>0.43194444444444446</v>
      </c>
      <c r="F150" s="1">
        <v>7.6388888888888886E-3</v>
      </c>
      <c r="G150">
        <v>50</v>
      </c>
      <c r="H150" t="s">
        <v>23</v>
      </c>
      <c r="I150">
        <v>2373</v>
      </c>
      <c r="J150" t="s">
        <v>24</v>
      </c>
    </row>
    <row r="151" spans="1:10" x14ac:dyDescent="0.25">
      <c r="A151" t="s">
        <v>176</v>
      </c>
      <c r="B151" t="s">
        <v>17</v>
      </c>
      <c r="C151" t="s">
        <v>13</v>
      </c>
      <c r="D151" t="s">
        <v>26</v>
      </c>
      <c r="E151" s="1">
        <v>0.11597222222222221</v>
      </c>
      <c r="F151" s="1">
        <v>0.67569444444444438</v>
      </c>
      <c r="G151">
        <v>41</v>
      </c>
      <c r="H151" t="s">
        <v>23</v>
      </c>
      <c r="I151">
        <v>4281</v>
      </c>
      <c r="J151" t="s">
        <v>24</v>
      </c>
    </row>
    <row r="152" spans="1:10" x14ac:dyDescent="0.25">
      <c r="A152" t="s">
        <v>177</v>
      </c>
      <c r="B152" t="s">
        <v>11</v>
      </c>
      <c r="C152" t="s">
        <v>19</v>
      </c>
      <c r="D152" t="s">
        <v>26</v>
      </c>
      <c r="E152" s="1">
        <v>0.97222222222222221</v>
      </c>
      <c r="F152" s="1">
        <v>0.77638888888888891</v>
      </c>
      <c r="G152">
        <v>40</v>
      </c>
      <c r="H152" t="s">
        <v>23</v>
      </c>
      <c r="I152">
        <v>1895</v>
      </c>
      <c r="J152" t="s">
        <v>15</v>
      </c>
    </row>
    <row r="153" spans="1:10" x14ac:dyDescent="0.25">
      <c r="A153" t="s">
        <v>178</v>
      </c>
      <c r="B153" t="s">
        <v>17</v>
      </c>
      <c r="C153" t="s">
        <v>34</v>
      </c>
      <c r="D153" t="s">
        <v>26</v>
      </c>
      <c r="E153" s="1">
        <v>0.87847222222222221</v>
      </c>
      <c r="F153" s="1">
        <v>0.3527777777777778</v>
      </c>
      <c r="G153">
        <v>43</v>
      </c>
      <c r="H153" t="s">
        <v>23</v>
      </c>
      <c r="I153">
        <v>4673</v>
      </c>
      <c r="J153" t="s">
        <v>24</v>
      </c>
    </row>
    <row r="154" spans="1:10" x14ac:dyDescent="0.25">
      <c r="A154" t="s">
        <v>179</v>
      </c>
      <c r="B154" t="s">
        <v>39</v>
      </c>
      <c r="C154" t="s">
        <v>18</v>
      </c>
      <c r="D154" t="s">
        <v>19</v>
      </c>
      <c r="E154" s="1">
        <v>0.67152777777777783</v>
      </c>
      <c r="F154" s="1">
        <v>0.4770833333333333</v>
      </c>
      <c r="G154">
        <v>2</v>
      </c>
      <c r="H154" t="s">
        <v>29</v>
      </c>
      <c r="I154">
        <v>2108</v>
      </c>
      <c r="J154" t="s">
        <v>27</v>
      </c>
    </row>
    <row r="155" spans="1:10" x14ac:dyDescent="0.25">
      <c r="A155" t="s">
        <v>180</v>
      </c>
      <c r="B155" t="s">
        <v>11</v>
      </c>
      <c r="C155" t="s">
        <v>12</v>
      </c>
      <c r="D155" t="s">
        <v>18</v>
      </c>
      <c r="E155" s="1">
        <v>5.1388888888888894E-2</v>
      </c>
      <c r="F155" s="1">
        <v>0.52638888888888891</v>
      </c>
      <c r="G155">
        <v>39</v>
      </c>
      <c r="H155" t="s">
        <v>23</v>
      </c>
      <c r="I155">
        <v>1648</v>
      </c>
      <c r="J155" t="s">
        <v>15</v>
      </c>
    </row>
    <row r="156" spans="1:10" x14ac:dyDescent="0.25">
      <c r="A156" t="s">
        <v>181</v>
      </c>
      <c r="B156" t="s">
        <v>39</v>
      </c>
      <c r="C156" t="s">
        <v>34</v>
      </c>
      <c r="D156" t="s">
        <v>19</v>
      </c>
      <c r="E156" s="1">
        <v>0.34583333333333338</v>
      </c>
      <c r="F156" s="1">
        <v>0.42152777777777778</v>
      </c>
      <c r="G156">
        <v>41</v>
      </c>
      <c r="H156" t="s">
        <v>23</v>
      </c>
      <c r="I156">
        <v>1263</v>
      </c>
      <c r="J156" t="s">
        <v>24</v>
      </c>
    </row>
    <row r="157" spans="1:10" x14ac:dyDescent="0.25">
      <c r="A157" t="s">
        <v>182</v>
      </c>
      <c r="B157" t="s">
        <v>22</v>
      </c>
      <c r="C157" t="s">
        <v>12</v>
      </c>
      <c r="D157" t="s">
        <v>19</v>
      </c>
      <c r="E157" s="1">
        <v>0.73958333333333337</v>
      </c>
      <c r="F157" s="1">
        <v>0.31388888888888888</v>
      </c>
      <c r="G157">
        <v>1</v>
      </c>
      <c r="H157" t="s">
        <v>29</v>
      </c>
      <c r="I157">
        <v>5777</v>
      </c>
      <c r="J157" t="s">
        <v>27</v>
      </c>
    </row>
    <row r="158" spans="1:10" x14ac:dyDescent="0.25">
      <c r="A158" t="s">
        <v>183</v>
      </c>
      <c r="B158" t="s">
        <v>17</v>
      </c>
      <c r="C158" t="s">
        <v>13</v>
      </c>
      <c r="D158" t="s">
        <v>18</v>
      </c>
      <c r="E158" s="1">
        <v>0.54236111111111118</v>
      </c>
      <c r="F158" s="1">
        <v>0.62361111111111112</v>
      </c>
      <c r="G158">
        <v>104</v>
      </c>
      <c r="H158" t="s">
        <v>23</v>
      </c>
      <c r="I158">
        <v>1837</v>
      </c>
      <c r="J158" t="s">
        <v>27</v>
      </c>
    </row>
    <row r="159" spans="1:10" x14ac:dyDescent="0.25">
      <c r="A159" t="s">
        <v>184</v>
      </c>
      <c r="B159" t="s">
        <v>22</v>
      </c>
      <c r="C159" t="s">
        <v>18</v>
      </c>
      <c r="D159" t="s">
        <v>19</v>
      </c>
      <c r="E159" s="1">
        <v>0.37986111111111115</v>
      </c>
      <c r="F159" s="1">
        <v>0.50069444444444444</v>
      </c>
      <c r="G159">
        <v>48</v>
      </c>
      <c r="H159" t="s">
        <v>23</v>
      </c>
      <c r="I159">
        <v>3860</v>
      </c>
      <c r="J159" t="s">
        <v>20</v>
      </c>
    </row>
    <row r="160" spans="1:10" x14ac:dyDescent="0.25">
      <c r="A160" t="s">
        <v>185</v>
      </c>
      <c r="B160" t="s">
        <v>11</v>
      </c>
      <c r="C160" t="s">
        <v>18</v>
      </c>
      <c r="D160" t="s">
        <v>19</v>
      </c>
      <c r="E160" s="1">
        <v>0.10208333333333335</v>
      </c>
      <c r="F160" s="1">
        <v>0.13541666666666666</v>
      </c>
      <c r="G160">
        <v>0</v>
      </c>
      <c r="H160" t="s">
        <v>29</v>
      </c>
      <c r="I160">
        <v>4769</v>
      </c>
      <c r="J160" t="s">
        <v>24</v>
      </c>
    </row>
    <row r="161" spans="1:10" x14ac:dyDescent="0.25">
      <c r="A161" t="s">
        <v>186</v>
      </c>
      <c r="B161" t="s">
        <v>11</v>
      </c>
      <c r="C161" t="s">
        <v>18</v>
      </c>
      <c r="D161" t="s">
        <v>13</v>
      </c>
      <c r="E161" s="1">
        <v>0.97291666666666676</v>
      </c>
      <c r="F161" s="1">
        <v>0.30624999999999997</v>
      </c>
      <c r="G161">
        <v>56</v>
      </c>
      <c r="H161" t="s">
        <v>23</v>
      </c>
      <c r="I161">
        <v>2577</v>
      </c>
      <c r="J161" t="s">
        <v>15</v>
      </c>
    </row>
    <row r="162" spans="1:10" x14ac:dyDescent="0.25">
      <c r="A162" t="s">
        <v>187</v>
      </c>
      <c r="B162" t="s">
        <v>39</v>
      </c>
      <c r="C162" t="s">
        <v>18</v>
      </c>
      <c r="D162" t="s">
        <v>13</v>
      </c>
      <c r="E162" s="1">
        <v>0.47361111111111115</v>
      </c>
      <c r="F162" s="1">
        <v>0.99444444444444446</v>
      </c>
      <c r="G162">
        <v>0</v>
      </c>
      <c r="H162" t="s">
        <v>29</v>
      </c>
      <c r="I162">
        <v>2409</v>
      </c>
      <c r="J162" t="s">
        <v>20</v>
      </c>
    </row>
    <row r="163" spans="1:10" x14ac:dyDescent="0.25">
      <c r="A163" t="s">
        <v>188</v>
      </c>
      <c r="B163" t="s">
        <v>39</v>
      </c>
      <c r="C163" t="s">
        <v>13</v>
      </c>
      <c r="D163" t="s">
        <v>26</v>
      </c>
      <c r="E163" s="1">
        <v>0.79791666666666661</v>
      </c>
      <c r="F163" s="1">
        <v>0.83611111111111114</v>
      </c>
      <c r="G163">
        <v>61</v>
      </c>
      <c r="H163" t="s">
        <v>23</v>
      </c>
      <c r="I163">
        <v>2651</v>
      </c>
      <c r="J163" t="s">
        <v>24</v>
      </c>
    </row>
    <row r="164" spans="1:10" x14ac:dyDescent="0.25">
      <c r="A164" t="s">
        <v>189</v>
      </c>
      <c r="B164" t="s">
        <v>22</v>
      </c>
      <c r="C164" t="s">
        <v>19</v>
      </c>
      <c r="D164" t="s">
        <v>12</v>
      </c>
      <c r="E164" s="1">
        <v>0.9159722222222223</v>
      </c>
      <c r="F164" s="1">
        <v>0.77847222222222223</v>
      </c>
      <c r="G164">
        <v>76</v>
      </c>
      <c r="H164" t="s">
        <v>23</v>
      </c>
      <c r="I164">
        <v>3847</v>
      </c>
      <c r="J164" t="s">
        <v>27</v>
      </c>
    </row>
    <row r="165" spans="1:10" x14ac:dyDescent="0.25">
      <c r="A165" t="s">
        <v>190</v>
      </c>
      <c r="B165" t="s">
        <v>22</v>
      </c>
      <c r="C165" t="s">
        <v>34</v>
      </c>
      <c r="D165" t="s">
        <v>18</v>
      </c>
      <c r="E165" s="1">
        <v>0.84652777777777777</v>
      </c>
      <c r="F165" s="1">
        <v>0.35902777777777778</v>
      </c>
      <c r="G165">
        <v>0</v>
      </c>
      <c r="H165" t="s">
        <v>29</v>
      </c>
      <c r="I165">
        <v>1660</v>
      </c>
      <c r="J165" t="s">
        <v>27</v>
      </c>
    </row>
    <row r="166" spans="1:10" x14ac:dyDescent="0.25">
      <c r="A166" t="s">
        <v>191</v>
      </c>
      <c r="B166" t="s">
        <v>22</v>
      </c>
      <c r="C166" t="s">
        <v>18</v>
      </c>
      <c r="D166" t="s">
        <v>13</v>
      </c>
      <c r="E166" s="1">
        <v>4.3750000000000004E-2</v>
      </c>
      <c r="F166" s="1">
        <v>0.49513888888888885</v>
      </c>
      <c r="G166">
        <v>68</v>
      </c>
      <c r="H166" t="s">
        <v>23</v>
      </c>
      <c r="I166">
        <v>3551</v>
      </c>
      <c r="J166" t="s">
        <v>15</v>
      </c>
    </row>
    <row r="167" spans="1:10" x14ac:dyDescent="0.25">
      <c r="A167" t="s">
        <v>192</v>
      </c>
      <c r="B167" t="s">
        <v>22</v>
      </c>
      <c r="C167" t="s">
        <v>12</v>
      </c>
      <c r="D167" t="s">
        <v>13</v>
      </c>
      <c r="E167" s="1">
        <v>0.60902777777777783</v>
      </c>
      <c r="F167" s="1">
        <v>0.74305555555555547</v>
      </c>
      <c r="G167">
        <v>46</v>
      </c>
      <c r="H167" t="s">
        <v>23</v>
      </c>
      <c r="I167">
        <v>1536</v>
      </c>
      <c r="J167" t="s">
        <v>24</v>
      </c>
    </row>
    <row r="168" spans="1:10" x14ac:dyDescent="0.25">
      <c r="A168" t="s">
        <v>193</v>
      </c>
      <c r="B168" t="s">
        <v>22</v>
      </c>
      <c r="C168" t="s">
        <v>18</v>
      </c>
      <c r="D168" t="s">
        <v>34</v>
      </c>
      <c r="E168" s="1">
        <v>0.67291666666666661</v>
      </c>
      <c r="F168" s="1">
        <v>6.1111111111111116E-2</v>
      </c>
      <c r="G168">
        <v>62</v>
      </c>
      <c r="H168" t="s">
        <v>23</v>
      </c>
      <c r="I168">
        <v>2047</v>
      </c>
      <c r="J168" t="s">
        <v>27</v>
      </c>
    </row>
    <row r="169" spans="1:10" x14ac:dyDescent="0.25">
      <c r="A169" t="s">
        <v>194</v>
      </c>
      <c r="B169" t="s">
        <v>39</v>
      </c>
      <c r="C169" t="s">
        <v>12</v>
      </c>
      <c r="D169" t="s">
        <v>13</v>
      </c>
      <c r="E169" s="1">
        <v>5.2083333333333336E-2</v>
      </c>
      <c r="F169" s="1">
        <v>0.93611111111111101</v>
      </c>
      <c r="G169">
        <v>105</v>
      </c>
      <c r="H169" t="s">
        <v>23</v>
      </c>
      <c r="I169">
        <v>4799</v>
      </c>
      <c r="J169" t="s">
        <v>20</v>
      </c>
    </row>
    <row r="170" spans="1:10" x14ac:dyDescent="0.25">
      <c r="A170" t="s">
        <v>195</v>
      </c>
      <c r="B170" t="s">
        <v>22</v>
      </c>
      <c r="C170" t="s">
        <v>26</v>
      </c>
      <c r="D170" t="s">
        <v>19</v>
      </c>
      <c r="E170" s="1">
        <v>0.5756944444444444</v>
      </c>
      <c r="F170" s="1">
        <v>0.4465277777777778</v>
      </c>
      <c r="G170">
        <v>20</v>
      </c>
      <c r="H170" t="s">
        <v>29</v>
      </c>
      <c r="I170">
        <v>1628</v>
      </c>
      <c r="J170" t="s">
        <v>27</v>
      </c>
    </row>
    <row r="171" spans="1:10" x14ac:dyDescent="0.25">
      <c r="A171" t="s">
        <v>196</v>
      </c>
      <c r="B171" t="s">
        <v>22</v>
      </c>
      <c r="C171" t="s">
        <v>13</v>
      </c>
      <c r="D171" t="s">
        <v>19</v>
      </c>
      <c r="E171" s="1">
        <v>0.38611111111111113</v>
      </c>
      <c r="F171" s="1">
        <v>0.99583333333333324</v>
      </c>
      <c r="G171">
        <v>0</v>
      </c>
      <c r="H171" t="s">
        <v>29</v>
      </c>
      <c r="I171">
        <v>2431</v>
      </c>
      <c r="J171" t="s">
        <v>27</v>
      </c>
    </row>
    <row r="172" spans="1:10" x14ac:dyDescent="0.25">
      <c r="A172" t="s">
        <v>197</v>
      </c>
      <c r="B172" t="s">
        <v>11</v>
      </c>
      <c r="C172" t="s">
        <v>13</v>
      </c>
      <c r="D172" t="s">
        <v>12</v>
      </c>
      <c r="E172" s="1">
        <v>0.40347222222222223</v>
      </c>
      <c r="F172" s="1">
        <v>0.9458333333333333</v>
      </c>
      <c r="G172">
        <v>0</v>
      </c>
      <c r="H172" t="s">
        <v>29</v>
      </c>
      <c r="I172">
        <v>4410</v>
      </c>
      <c r="J172" t="s">
        <v>20</v>
      </c>
    </row>
    <row r="173" spans="1:10" x14ac:dyDescent="0.25">
      <c r="A173" t="s">
        <v>198</v>
      </c>
      <c r="B173" t="s">
        <v>22</v>
      </c>
      <c r="C173" t="s">
        <v>18</v>
      </c>
      <c r="D173" t="s">
        <v>13</v>
      </c>
      <c r="E173" s="1">
        <v>0.86805555555555547</v>
      </c>
      <c r="F173" s="1">
        <v>0.45277777777777778</v>
      </c>
      <c r="G173">
        <v>0</v>
      </c>
      <c r="H173" t="s">
        <v>29</v>
      </c>
      <c r="I173">
        <v>2246</v>
      </c>
      <c r="J173" t="s">
        <v>15</v>
      </c>
    </row>
    <row r="174" spans="1:10" x14ac:dyDescent="0.25">
      <c r="A174" t="s">
        <v>199</v>
      </c>
      <c r="B174" t="s">
        <v>17</v>
      </c>
      <c r="C174" t="s">
        <v>12</v>
      </c>
      <c r="D174" t="s">
        <v>19</v>
      </c>
      <c r="E174" s="1">
        <v>0.47152777777777777</v>
      </c>
      <c r="F174" s="1">
        <v>0.21736111111111112</v>
      </c>
      <c r="G174">
        <v>26</v>
      </c>
      <c r="H174" t="s">
        <v>23</v>
      </c>
      <c r="I174">
        <v>3999</v>
      </c>
      <c r="J174" t="s">
        <v>24</v>
      </c>
    </row>
    <row r="175" spans="1:10" x14ac:dyDescent="0.25">
      <c r="A175" t="s">
        <v>200</v>
      </c>
      <c r="B175" t="s">
        <v>39</v>
      </c>
      <c r="C175" t="s">
        <v>34</v>
      </c>
      <c r="D175" t="s">
        <v>26</v>
      </c>
      <c r="E175" s="1">
        <v>9.5833333333333326E-2</v>
      </c>
      <c r="F175" s="1">
        <v>0.14722222222222223</v>
      </c>
      <c r="G175">
        <v>43</v>
      </c>
      <c r="H175" t="s">
        <v>23</v>
      </c>
      <c r="I175">
        <v>5621</v>
      </c>
      <c r="J175" t="s">
        <v>15</v>
      </c>
    </row>
    <row r="176" spans="1:10" x14ac:dyDescent="0.25">
      <c r="A176" t="s">
        <v>201</v>
      </c>
      <c r="B176" t="s">
        <v>39</v>
      </c>
      <c r="C176" t="s">
        <v>12</v>
      </c>
      <c r="D176" t="s">
        <v>26</v>
      </c>
      <c r="E176" s="1">
        <v>0.80833333333333324</v>
      </c>
      <c r="F176" s="1">
        <v>0.17361111111111113</v>
      </c>
      <c r="G176">
        <v>41</v>
      </c>
      <c r="H176" t="s">
        <v>23</v>
      </c>
      <c r="I176">
        <v>2681</v>
      </c>
      <c r="J176" t="s">
        <v>20</v>
      </c>
    </row>
    <row r="177" spans="1:10" x14ac:dyDescent="0.25">
      <c r="A177" t="s">
        <v>202</v>
      </c>
      <c r="B177" t="s">
        <v>11</v>
      </c>
      <c r="C177" t="s">
        <v>12</v>
      </c>
      <c r="D177" t="s">
        <v>19</v>
      </c>
      <c r="E177" s="1">
        <v>0.90694444444444444</v>
      </c>
      <c r="F177" s="1">
        <v>0.31111111111111112</v>
      </c>
      <c r="G177">
        <v>0</v>
      </c>
      <c r="H177" t="s">
        <v>14</v>
      </c>
      <c r="I177">
        <v>3534</v>
      </c>
      <c r="J177" t="s">
        <v>24</v>
      </c>
    </row>
    <row r="178" spans="1:10" x14ac:dyDescent="0.25">
      <c r="A178" t="s">
        <v>203</v>
      </c>
      <c r="B178" t="s">
        <v>22</v>
      </c>
      <c r="C178" t="s">
        <v>34</v>
      </c>
      <c r="D178" t="s">
        <v>12</v>
      </c>
      <c r="E178" s="1">
        <v>0.26597222222222222</v>
      </c>
      <c r="F178" s="1">
        <v>0.9</v>
      </c>
      <c r="G178">
        <v>30</v>
      </c>
      <c r="H178" t="s">
        <v>23</v>
      </c>
      <c r="I178">
        <v>4809</v>
      </c>
      <c r="J178" t="s">
        <v>24</v>
      </c>
    </row>
    <row r="179" spans="1:10" x14ac:dyDescent="0.25">
      <c r="A179" t="s">
        <v>204</v>
      </c>
      <c r="B179" t="s">
        <v>22</v>
      </c>
      <c r="C179" t="s">
        <v>26</v>
      </c>
      <c r="D179" t="s">
        <v>18</v>
      </c>
      <c r="E179" s="1">
        <v>0.24444444444444446</v>
      </c>
      <c r="F179" s="1">
        <v>0.28541666666666665</v>
      </c>
      <c r="G179">
        <v>88</v>
      </c>
      <c r="H179" t="s">
        <v>23</v>
      </c>
      <c r="I179">
        <v>2333</v>
      </c>
      <c r="J179" t="s">
        <v>27</v>
      </c>
    </row>
    <row r="180" spans="1:10" x14ac:dyDescent="0.25">
      <c r="A180" t="s">
        <v>205</v>
      </c>
      <c r="B180" t="s">
        <v>17</v>
      </c>
      <c r="C180" t="s">
        <v>13</v>
      </c>
      <c r="D180" t="s">
        <v>18</v>
      </c>
      <c r="E180" s="1">
        <v>0.95416666666666661</v>
      </c>
      <c r="F180" s="1">
        <v>0.70416666666666661</v>
      </c>
      <c r="G180">
        <v>19</v>
      </c>
      <c r="H180" t="s">
        <v>29</v>
      </c>
      <c r="I180">
        <v>2221</v>
      </c>
      <c r="J180" t="s">
        <v>27</v>
      </c>
    </row>
    <row r="181" spans="1:10" x14ac:dyDescent="0.25">
      <c r="A181" t="s">
        <v>206</v>
      </c>
      <c r="B181" t="s">
        <v>39</v>
      </c>
      <c r="C181" t="s">
        <v>13</v>
      </c>
      <c r="D181" t="s">
        <v>26</v>
      </c>
      <c r="E181" s="1">
        <v>0.54513888888888895</v>
      </c>
      <c r="F181" s="1">
        <v>0.32777777777777778</v>
      </c>
      <c r="G181">
        <v>138</v>
      </c>
      <c r="H181" t="s">
        <v>23</v>
      </c>
      <c r="I181">
        <v>4895</v>
      </c>
      <c r="J181" t="s">
        <v>27</v>
      </c>
    </row>
    <row r="182" spans="1:10" x14ac:dyDescent="0.25">
      <c r="A182" t="s">
        <v>207</v>
      </c>
      <c r="B182" t="s">
        <v>11</v>
      </c>
      <c r="C182" t="s">
        <v>13</v>
      </c>
      <c r="D182" t="s">
        <v>18</v>
      </c>
      <c r="E182" s="1">
        <v>0.30833333333333335</v>
      </c>
      <c r="F182" s="1">
        <v>9.930555555555555E-2</v>
      </c>
      <c r="G182">
        <v>55</v>
      </c>
      <c r="H182" t="s">
        <v>23</v>
      </c>
      <c r="I182">
        <v>3039</v>
      </c>
      <c r="J182" t="s">
        <v>15</v>
      </c>
    </row>
    <row r="183" spans="1:10" x14ac:dyDescent="0.25">
      <c r="A183" t="s">
        <v>208</v>
      </c>
      <c r="B183" t="s">
        <v>11</v>
      </c>
      <c r="C183" t="s">
        <v>26</v>
      </c>
      <c r="D183" t="s">
        <v>13</v>
      </c>
      <c r="E183" s="1">
        <v>0.17222222222222225</v>
      </c>
      <c r="F183" s="1">
        <v>5.4166666666666669E-2</v>
      </c>
      <c r="G183">
        <v>0</v>
      </c>
      <c r="H183" t="s">
        <v>29</v>
      </c>
      <c r="I183">
        <v>5070</v>
      </c>
      <c r="J183" t="s">
        <v>20</v>
      </c>
    </row>
    <row r="184" spans="1:10" x14ac:dyDescent="0.25">
      <c r="A184" t="s">
        <v>209</v>
      </c>
      <c r="B184" t="s">
        <v>17</v>
      </c>
      <c r="C184" t="s">
        <v>12</v>
      </c>
      <c r="D184" t="s">
        <v>19</v>
      </c>
      <c r="E184" s="1">
        <v>8.4027777777777771E-2</v>
      </c>
      <c r="F184" s="1">
        <v>0.34236111111111112</v>
      </c>
      <c r="G184">
        <v>0</v>
      </c>
      <c r="H184" t="s">
        <v>29</v>
      </c>
      <c r="I184">
        <v>2424</v>
      </c>
      <c r="J184" t="s">
        <v>24</v>
      </c>
    </row>
    <row r="185" spans="1:10" x14ac:dyDescent="0.25">
      <c r="A185" t="s">
        <v>210</v>
      </c>
      <c r="B185" t="s">
        <v>17</v>
      </c>
      <c r="C185" t="s">
        <v>13</v>
      </c>
      <c r="D185" t="s">
        <v>19</v>
      </c>
      <c r="E185" s="1">
        <v>5.2083333333333336E-2</v>
      </c>
      <c r="F185" s="1">
        <v>0.56944444444444442</v>
      </c>
      <c r="G185">
        <v>49</v>
      </c>
      <c r="H185" t="s">
        <v>23</v>
      </c>
      <c r="I185">
        <v>4944</v>
      </c>
      <c r="J185" t="s">
        <v>15</v>
      </c>
    </row>
    <row r="186" spans="1:10" x14ac:dyDescent="0.25">
      <c r="A186" t="s">
        <v>211</v>
      </c>
      <c r="B186" t="s">
        <v>17</v>
      </c>
      <c r="C186" t="s">
        <v>13</v>
      </c>
      <c r="D186" t="s">
        <v>18</v>
      </c>
      <c r="E186" s="1">
        <v>0.85555555555555562</v>
      </c>
      <c r="F186" s="1">
        <v>0.76041666666666663</v>
      </c>
      <c r="G186">
        <v>21</v>
      </c>
      <c r="H186" t="s">
        <v>23</v>
      </c>
      <c r="I186">
        <v>2376</v>
      </c>
      <c r="J186" t="s">
        <v>27</v>
      </c>
    </row>
    <row r="187" spans="1:10" x14ac:dyDescent="0.25">
      <c r="A187" t="s">
        <v>212</v>
      </c>
      <c r="B187" t="s">
        <v>39</v>
      </c>
      <c r="C187" t="s">
        <v>19</v>
      </c>
      <c r="D187" t="s">
        <v>13</v>
      </c>
      <c r="E187" s="1">
        <v>0.7680555555555556</v>
      </c>
      <c r="F187" s="1">
        <v>0.23750000000000002</v>
      </c>
      <c r="G187">
        <v>58</v>
      </c>
      <c r="H187" t="s">
        <v>23</v>
      </c>
      <c r="I187">
        <v>1901</v>
      </c>
      <c r="J187" t="s">
        <v>27</v>
      </c>
    </row>
    <row r="188" spans="1:10" x14ac:dyDescent="0.25">
      <c r="A188" t="s">
        <v>213</v>
      </c>
      <c r="B188" t="s">
        <v>17</v>
      </c>
      <c r="C188" t="s">
        <v>13</v>
      </c>
      <c r="D188" t="s">
        <v>12</v>
      </c>
      <c r="E188" s="1">
        <v>0.53819444444444442</v>
      </c>
      <c r="F188" s="1">
        <v>0.62638888888888888</v>
      </c>
      <c r="G188">
        <v>48</v>
      </c>
      <c r="H188" t="s">
        <v>23</v>
      </c>
      <c r="I188">
        <v>4369</v>
      </c>
      <c r="J188" t="s">
        <v>27</v>
      </c>
    </row>
    <row r="189" spans="1:10" x14ac:dyDescent="0.25">
      <c r="A189" t="s">
        <v>214</v>
      </c>
      <c r="B189" t="s">
        <v>17</v>
      </c>
      <c r="C189" t="s">
        <v>26</v>
      </c>
      <c r="D189" t="s">
        <v>13</v>
      </c>
      <c r="E189" s="1">
        <v>0.46875</v>
      </c>
      <c r="F189" s="1">
        <v>0.98749999999999993</v>
      </c>
      <c r="G189">
        <v>27</v>
      </c>
      <c r="H189" t="s">
        <v>23</v>
      </c>
      <c r="I189">
        <v>2049</v>
      </c>
      <c r="J189" t="s">
        <v>27</v>
      </c>
    </row>
    <row r="190" spans="1:10" x14ac:dyDescent="0.25">
      <c r="A190" t="s">
        <v>215</v>
      </c>
      <c r="B190" t="s">
        <v>11</v>
      </c>
      <c r="C190" t="s">
        <v>34</v>
      </c>
      <c r="D190" t="s">
        <v>13</v>
      </c>
      <c r="E190" s="1">
        <v>0.84097222222222223</v>
      </c>
      <c r="F190" s="1">
        <v>0.89513888888888893</v>
      </c>
      <c r="G190">
        <v>0</v>
      </c>
      <c r="H190" t="s">
        <v>29</v>
      </c>
      <c r="I190">
        <v>5120</v>
      </c>
      <c r="J190" t="s">
        <v>20</v>
      </c>
    </row>
    <row r="191" spans="1:10" x14ac:dyDescent="0.25">
      <c r="A191" t="s">
        <v>216</v>
      </c>
      <c r="B191" t="s">
        <v>22</v>
      </c>
      <c r="C191" t="s">
        <v>34</v>
      </c>
      <c r="D191" t="s">
        <v>13</v>
      </c>
      <c r="E191" s="1">
        <v>5.4166666666666669E-2</v>
      </c>
      <c r="F191" s="1">
        <v>0.25138888888888888</v>
      </c>
      <c r="G191">
        <v>0</v>
      </c>
      <c r="H191" t="s">
        <v>29</v>
      </c>
      <c r="I191">
        <v>2834</v>
      </c>
      <c r="J191" t="s">
        <v>15</v>
      </c>
    </row>
    <row r="192" spans="1:10" x14ac:dyDescent="0.25">
      <c r="A192" t="s">
        <v>217</v>
      </c>
      <c r="B192" t="s">
        <v>22</v>
      </c>
      <c r="C192" t="s">
        <v>26</v>
      </c>
      <c r="D192" t="s">
        <v>19</v>
      </c>
      <c r="E192" s="1">
        <v>0.3347222222222222</v>
      </c>
      <c r="F192" s="1">
        <v>0.84166666666666667</v>
      </c>
      <c r="G192">
        <v>12</v>
      </c>
      <c r="H192" t="s">
        <v>29</v>
      </c>
      <c r="I192">
        <v>3543</v>
      </c>
      <c r="J192" t="s">
        <v>27</v>
      </c>
    </row>
    <row r="193" spans="1:10" x14ac:dyDescent="0.25">
      <c r="A193" t="s">
        <v>218</v>
      </c>
      <c r="B193" t="s">
        <v>11</v>
      </c>
      <c r="C193" t="s">
        <v>13</v>
      </c>
      <c r="D193" t="s">
        <v>19</v>
      </c>
      <c r="E193" s="1">
        <v>0.5805555555555556</v>
      </c>
      <c r="F193" s="1">
        <v>0.53263888888888888</v>
      </c>
      <c r="G193">
        <v>64</v>
      </c>
      <c r="H193" t="s">
        <v>23</v>
      </c>
      <c r="I193">
        <v>4802</v>
      </c>
      <c r="J193" t="s">
        <v>24</v>
      </c>
    </row>
    <row r="194" spans="1:10" x14ac:dyDescent="0.25">
      <c r="A194" t="s">
        <v>219</v>
      </c>
      <c r="B194" t="s">
        <v>22</v>
      </c>
      <c r="C194" t="s">
        <v>26</v>
      </c>
      <c r="D194" t="s">
        <v>34</v>
      </c>
      <c r="E194" s="1">
        <v>0.4993055555555555</v>
      </c>
      <c r="F194" s="1">
        <v>0.67847222222222225</v>
      </c>
      <c r="G194">
        <v>38</v>
      </c>
      <c r="H194" t="s">
        <v>23</v>
      </c>
      <c r="I194">
        <v>1876</v>
      </c>
      <c r="J194" t="s">
        <v>24</v>
      </c>
    </row>
    <row r="195" spans="1:10" x14ac:dyDescent="0.25">
      <c r="A195" t="s">
        <v>220</v>
      </c>
      <c r="B195" t="s">
        <v>39</v>
      </c>
      <c r="C195" t="s">
        <v>13</v>
      </c>
      <c r="D195" t="s">
        <v>18</v>
      </c>
      <c r="E195" s="1">
        <v>0.72083333333333333</v>
      </c>
      <c r="F195" s="1">
        <v>0.42083333333333334</v>
      </c>
      <c r="G195">
        <v>0</v>
      </c>
      <c r="H195" t="s">
        <v>29</v>
      </c>
      <c r="I195">
        <v>1855</v>
      </c>
      <c r="J195" t="s">
        <v>27</v>
      </c>
    </row>
    <row r="196" spans="1:10" x14ac:dyDescent="0.25">
      <c r="A196" t="s">
        <v>221</v>
      </c>
      <c r="B196" t="s">
        <v>22</v>
      </c>
      <c r="C196" t="s">
        <v>12</v>
      </c>
      <c r="D196" t="s">
        <v>26</v>
      </c>
      <c r="E196" s="1">
        <v>0.2388888888888889</v>
      </c>
      <c r="F196" s="1">
        <v>0.59861111111111109</v>
      </c>
      <c r="G196">
        <v>36</v>
      </c>
      <c r="H196" t="s">
        <v>23</v>
      </c>
      <c r="I196">
        <v>4862</v>
      </c>
      <c r="J196" t="s">
        <v>15</v>
      </c>
    </row>
    <row r="197" spans="1:10" x14ac:dyDescent="0.25">
      <c r="A197" t="s">
        <v>222</v>
      </c>
      <c r="B197" t="s">
        <v>22</v>
      </c>
      <c r="C197" t="s">
        <v>12</v>
      </c>
      <c r="D197" t="s">
        <v>26</v>
      </c>
      <c r="E197" s="1">
        <v>0.3611111111111111</v>
      </c>
      <c r="F197" s="1">
        <v>4.4444444444444446E-2</v>
      </c>
      <c r="G197">
        <v>45</v>
      </c>
      <c r="H197" t="s">
        <v>23</v>
      </c>
      <c r="I197">
        <v>4527</v>
      </c>
      <c r="J197" t="s">
        <v>27</v>
      </c>
    </row>
    <row r="198" spans="1:10" x14ac:dyDescent="0.25">
      <c r="A198" t="s">
        <v>223</v>
      </c>
      <c r="B198" t="s">
        <v>39</v>
      </c>
      <c r="C198" t="s">
        <v>18</v>
      </c>
      <c r="D198" t="s">
        <v>34</v>
      </c>
      <c r="E198" s="1">
        <v>0.82152777777777775</v>
      </c>
      <c r="F198" s="1">
        <v>0.58472222222222225</v>
      </c>
      <c r="G198">
        <v>0</v>
      </c>
      <c r="H198" t="s">
        <v>29</v>
      </c>
      <c r="I198">
        <v>2234</v>
      </c>
      <c r="J198" t="s">
        <v>15</v>
      </c>
    </row>
    <row r="199" spans="1:10" x14ac:dyDescent="0.25">
      <c r="A199" t="s">
        <v>224</v>
      </c>
      <c r="B199" t="s">
        <v>17</v>
      </c>
      <c r="C199" t="s">
        <v>34</v>
      </c>
      <c r="D199" t="s">
        <v>19</v>
      </c>
      <c r="E199" s="1">
        <v>0.79791666666666661</v>
      </c>
      <c r="F199" s="1">
        <v>0.89444444444444438</v>
      </c>
      <c r="G199">
        <v>36</v>
      </c>
      <c r="H199" t="s">
        <v>23</v>
      </c>
      <c r="I199">
        <v>4238</v>
      </c>
      <c r="J199" t="s">
        <v>27</v>
      </c>
    </row>
    <row r="200" spans="1:10" x14ac:dyDescent="0.25">
      <c r="A200" t="s">
        <v>225</v>
      </c>
      <c r="B200" t="s">
        <v>11</v>
      </c>
      <c r="C200" t="s">
        <v>19</v>
      </c>
      <c r="D200" t="s">
        <v>13</v>
      </c>
      <c r="E200" s="1">
        <v>0.51388888888888895</v>
      </c>
      <c r="F200" s="1">
        <v>0.84513888888888899</v>
      </c>
      <c r="G200">
        <v>32</v>
      </c>
      <c r="H200" t="s">
        <v>23</v>
      </c>
      <c r="I200">
        <v>3244</v>
      </c>
      <c r="J200" t="s">
        <v>15</v>
      </c>
    </row>
    <row r="201" spans="1:10" x14ac:dyDescent="0.25">
      <c r="A201" t="s">
        <v>226</v>
      </c>
      <c r="B201" t="s">
        <v>22</v>
      </c>
      <c r="C201" t="s">
        <v>13</v>
      </c>
      <c r="D201" t="s">
        <v>26</v>
      </c>
      <c r="E201" s="1">
        <v>0.71319444444444446</v>
      </c>
      <c r="F201" s="1">
        <v>0.36736111111111108</v>
      </c>
      <c r="G201">
        <v>0</v>
      </c>
      <c r="H201" t="s">
        <v>29</v>
      </c>
      <c r="I201">
        <v>3332</v>
      </c>
      <c r="J201" t="s">
        <v>24</v>
      </c>
    </row>
    <row r="202" spans="1:10" x14ac:dyDescent="0.25">
      <c r="A202" t="s">
        <v>227</v>
      </c>
      <c r="B202" t="s">
        <v>22</v>
      </c>
      <c r="C202" t="s">
        <v>34</v>
      </c>
      <c r="D202" t="s">
        <v>12</v>
      </c>
      <c r="E202" s="1">
        <v>0.25486111111111109</v>
      </c>
      <c r="F202" s="1">
        <v>0.20416666666666669</v>
      </c>
      <c r="G202">
        <v>44</v>
      </c>
      <c r="H202" t="s">
        <v>23</v>
      </c>
      <c r="I202">
        <v>1806</v>
      </c>
      <c r="J202" t="s">
        <v>24</v>
      </c>
    </row>
    <row r="203" spans="1:10" x14ac:dyDescent="0.25">
      <c r="A203" t="s">
        <v>228</v>
      </c>
      <c r="B203" t="s">
        <v>11</v>
      </c>
      <c r="C203" t="s">
        <v>34</v>
      </c>
      <c r="D203" t="s">
        <v>18</v>
      </c>
      <c r="E203" s="1">
        <v>0.89027777777777783</v>
      </c>
      <c r="F203" s="1">
        <v>0.9194444444444444</v>
      </c>
      <c r="G203">
        <v>52</v>
      </c>
      <c r="H203" t="s">
        <v>23</v>
      </c>
      <c r="I203">
        <v>5705</v>
      </c>
      <c r="J203" t="s">
        <v>27</v>
      </c>
    </row>
    <row r="204" spans="1:10" x14ac:dyDescent="0.25">
      <c r="A204" t="s">
        <v>229</v>
      </c>
      <c r="B204" t="s">
        <v>39</v>
      </c>
      <c r="C204" t="s">
        <v>26</v>
      </c>
      <c r="D204" t="s">
        <v>34</v>
      </c>
      <c r="E204" s="1">
        <v>0.48055555555555557</v>
      </c>
      <c r="F204" s="1">
        <v>0.29652777777777778</v>
      </c>
      <c r="G204">
        <v>73</v>
      </c>
      <c r="H204" t="s">
        <v>23</v>
      </c>
      <c r="I204">
        <v>2846</v>
      </c>
      <c r="J204" t="s">
        <v>20</v>
      </c>
    </row>
    <row r="205" spans="1:10" x14ac:dyDescent="0.25">
      <c r="A205" t="s">
        <v>230</v>
      </c>
      <c r="B205" t="s">
        <v>11</v>
      </c>
      <c r="C205" t="s">
        <v>34</v>
      </c>
      <c r="D205" t="s">
        <v>18</v>
      </c>
      <c r="E205" s="1">
        <v>0.61875000000000002</v>
      </c>
      <c r="F205" s="1">
        <v>0.71388888888888891</v>
      </c>
      <c r="G205">
        <v>0</v>
      </c>
      <c r="H205" t="s">
        <v>14</v>
      </c>
      <c r="I205">
        <v>1906</v>
      </c>
      <c r="J205" t="s">
        <v>15</v>
      </c>
    </row>
    <row r="206" spans="1:10" x14ac:dyDescent="0.25">
      <c r="A206" t="s">
        <v>231</v>
      </c>
      <c r="B206" t="s">
        <v>22</v>
      </c>
      <c r="C206" t="s">
        <v>26</v>
      </c>
      <c r="D206" t="s">
        <v>18</v>
      </c>
      <c r="E206" s="1">
        <v>0.68472222222222223</v>
      </c>
      <c r="F206" s="1">
        <v>0.57777777777777783</v>
      </c>
      <c r="G206">
        <v>0</v>
      </c>
      <c r="H206" t="s">
        <v>29</v>
      </c>
      <c r="I206">
        <v>5909</v>
      </c>
      <c r="J206" t="s">
        <v>15</v>
      </c>
    </row>
    <row r="207" spans="1:10" x14ac:dyDescent="0.25">
      <c r="A207" t="s">
        <v>232</v>
      </c>
      <c r="B207" t="s">
        <v>22</v>
      </c>
      <c r="C207" t="s">
        <v>34</v>
      </c>
      <c r="D207" t="s">
        <v>19</v>
      </c>
      <c r="E207" s="1">
        <v>0.61319444444444449</v>
      </c>
      <c r="F207" s="1">
        <v>0.68194444444444446</v>
      </c>
      <c r="G207">
        <v>0</v>
      </c>
      <c r="H207" t="s">
        <v>29</v>
      </c>
      <c r="I207">
        <v>2251</v>
      </c>
      <c r="J207" t="s">
        <v>20</v>
      </c>
    </row>
    <row r="208" spans="1:10" x14ac:dyDescent="0.25">
      <c r="A208" t="s">
        <v>233</v>
      </c>
      <c r="B208" t="s">
        <v>17</v>
      </c>
      <c r="C208" t="s">
        <v>34</v>
      </c>
      <c r="D208" t="s">
        <v>18</v>
      </c>
      <c r="E208" s="1">
        <v>0.14791666666666667</v>
      </c>
      <c r="F208" s="1">
        <v>0.17986111111111111</v>
      </c>
      <c r="G208">
        <v>50</v>
      </c>
      <c r="H208" t="s">
        <v>23</v>
      </c>
      <c r="I208">
        <v>2548</v>
      </c>
      <c r="J208" t="s">
        <v>20</v>
      </c>
    </row>
    <row r="209" spans="1:10" x14ac:dyDescent="0.25">
      <c r="A209" t="s">
        <v>234</v>
      </c>
      <c r="B209" t="s">
        <v>11</v>
      </c>
      <c r="C209" t="s">
        <v>26</v>
      </c>
      <c r="D209" t="s">
        <v>34</v>
      </c>
      <c r="E209" s="1">
        <v>9.4444444444444442E-2</v>
      </c>
      <c r="F209" s="1">
        <v>0.27777777777777779</v>
      </c>
      <c r="G209">
        <v>50</v>
      </c>
      <c r="H209" t="s">
        <v>23</v>
      </c>
      <c r="I209">
        <v>5712</v>
      </c>
      <c r="J209" t="s">
        <v>27</v>
      </c>
    </row>
    <row r="210" spans="1:10" x14ac:dyDescent="0.25">
      <c r="A210" t="s">
        <v>235</v>
      </c>
      <c r="B210" t="s">
        <v>17</v>
      </c>
      <c r="C210" t="s">
        <v>34</v>
      </c>
      <c r="D210" t="s">
        <v>19</v>
      </c>
      <c r="E210" s="1">
        <v>0.69513888888888886</v>
      </c>
      <c r="F210" s="1">
        <v>0.23402777777777781</v>
      </c>
      <c r="G210">
        <v>50</v>
      </c>
      <c r="H210" t="s">
        <v>23</v>
      </c>
      <c r="I210">
        <v>5956</v>
      </c>
      <c r="J210" t="s">
        <v>20</v>
      </c>
    </row>
    <row r="211" spans="1:10" x14ac:dyDescent="0.25">
      <c r="A211" t="s">
        <v>236</v>
      </c>
      <c r="B211" t="s">
        <v>11</v>
      </c>
      <c r="C211" t="s">
        <v>34</v>
      </c>
      <c r="D211" t="s">
        <v>12</v>
      </c>
      <c r="E211" s="1">
        <v>0.75138888888888899</v>
      </c>
      <c r="F211" s="1">
        <v>3.472222222222222E-3</v>
      </c>
      <c r="G211">
        <v>184</v>
      </c>
      <c r="H211" t="s">
        <v>23</v>
      </c>
      <c r="I211">
        <v>1572</v>
      </c>
      <c r="J211" t="s">
        <v>27</v>
      </c>
    </row>
    <row r="212" spans="1:10" x14ac:dyDescent="0.25">
      <c r="A212" t="s">
        <v>237</v>
      </c>
      <c r="B212" t="s">
        <v>22</v>
      </c>
      <c r="C212" t="s">
        <v>12</v>
      </c>
      <c r="D212" t="s">
        <v>34</v>
      </c>
      <c r="E212" s="1">
        <v>0.81944444444444453</v>
      </c>
      <c r="F212" s="1">
        <v>2.1527777777777781E-2</v>
      </c>
      <c r="G212">
        <v>52</v>
      </c>
      <c r="H212" t="s">
        <v>23</v>
      </c>
      <c r="I212">
        <v>5669</v>
      </c>
      <c r="J212" t="s">
        <v>27</v>
      </c>
    </row>
    <row r="213" spans="1:10" x14ac:dyDescent="0.25">
      <c r="A213" t="s">
        <v>238</v>
      </c>
      <c r="B213" t="s">
        <v>22</v>
      </c>
      <c r="C213" t="s">
        <v>12</v>
      </c>
      <c r="D213" t="s">
        <v>26</v>
      </c>
      <c r="E213" s="1">
        <v>0.39513888888888887</v>
      </c>
      <c r="F213" s="1">
        <v>0.11388888888888889</v>
      </c>
      <c r="G213">
        <v>75</v>
      </c>
      <c r="H213" t="s">
        <v>23</v>
      </c>
      <c r="I213">
        <v>1690</v>
      </c>
      <c r="J213" t="s">
        <v>20</v>
      </c>
    </row>
    <row r="214" spans="1:10" x14ac:dyDescent="0.25">
      <c r="A214" t="s">
        <v>239</v>
      </c>
      <c r="B214" t="s">
        <v>39</v>
      </c>
      <c r="C214" t="s">
        <v>19</v>
      </c>
      <c r="D214" t="s">
        <v>18</v>
      </c>
      <c r="E214" s="1">
        <v>0.44305555555555554</v>
      </c>
      <c r="F214" s="1">
        <v>0.18055555555555555</v>
      </c>
      <c r="G214">
        <v>68</v>
      </c>
      <c r="H214" t="s">
        <v>23</v>
      </c>
      <c r="I214">
        <v>3815</v>
      </c>
      <c r="J214" t="s">
        <v>27</v>
      </c>
    </row>
    <row r="215" spans="1:10" x14ac:dyDescent="0.25">
      <c r="A215" t="s">
        <v>240</v>
      </c>
      <c r="B215" t="s">
        <v>17</v>
      </c>
      <c r="C215" t="s">
        <v>19</v>
      </c>
      <c r="D215" t="s">
        <v>34</v>
      </c>
      <c r="E215" s="1">
        <v>0.42708333333333331</v>
      </c>
      <c r="F215" s="1">
        <v>0.58819444444444446</v>
      </c>
      <c r="G215">
        <v>56</v>
      </c>
      <c r="H215" t="s">
        <v>23</v>
      </c>
      <c r="I215">
        <v>3391</v>
      </c>
      <c r="J215" t="s">
        <v>24</v>
      </c>
    </row>
    <row r="216" spans="1:10" x14ac:dyDescent="0.25">
      <c r="A216" t="s">
        <v>241</v>
      </c>
      <c r="B216" t="s">
        <v>11</v>
      </c>
      <c r="C216" t="s">
        <v>34</v>
      </c>
      <c r="D216" t="s">
        <v>26</v>
      </c>
      <c r="E216" s="1">
        <v>0.53819444444444442</v>
      </c>
      <c r="F216" s="1">
        <v>0.80972222222222223</v>
      </c>
      <c r="G216">
        <v>17</v>
      </c>
      <c r="H216" t="s">
        <v>29</v>
      </c>
      <c r="I216">
        <v>3233</v>
      </c>
      <c r="J216" t="s">
        <v>20</v>
      </c>
    </row>
    <row r="217" spans="1:10" x14ac:dyDescent="0.25">
      <c r="A217" t="s">
        <v>242</v>
      </c>
      <c r="B217" t="s">
        <v>39</v>
      </c>
      <c r="C217" t="s">
        <v>26</v>
      </c>
      <c r="D217" t="s">
        <v>12</v>
      </c>
      <c r="E217" s="1">
        <v>0.2298611111111111</v>
      </c>
      <c r="F217" s="1">
        <v>0.68680555555555556</v>
      </c>
      <c r="G217">
        <v>60</v>
      </c>
      <c r="H217" t="s">
        <v>23</v>
      </c>
      <c r="I217">
        <v>5285</v>
      </c>
      <c r="J217" t="s">
        <v>27</v>
      </c>
    </row>
    <row r="218" spans="1:10" x14ac:dyDescent="0.25">
      <c r="A218" t="s">
        <v>243</v>
      </c>
      <c r="B218" t="s">
        <v>22</v>
      </c>
      <c r="C218" t="s">
        <v>19</v>
      </c>
      <c r="D218" t="s">
        <v>13</v>
      </c>
      <c r="E218" s="1">
        <v>0.68680555555555556</v>
      </c>
      <c r="F218" s="1">
        <v>0.30069444444444443</v>
      </c>
      <c r="G218">
        <v>0</v>
      </c>
      <c r="H218" t="s">
        <v>29</v>
      </c>
      <c r="I218">
        <v>5978</v>
      </c>
      <c r="J218" t="s">
        <v>27</v>
      </c>
    </row>
    <row r="219" spans="1:10" x14ac:dyDescent="0.25">
      <c r="A219" t="s">
        <v>244</v>
      </c>
      <c r="B219" t="s">
        <v>22</v>
      </c>
      <c r="C219" t="s">
        <v>13</v>
      </c>
      <c r="D219" t="s">
        <v>34</v>
      </c>
      <c r="E219" s="1">
        <v>0.39861111111111108</v>
      </c>
      <c r="F219" s="1">
        <v>3.7499999999999999E-2</v>
      </c>
      <c r="G219">
        <v>20</v>
      </c>
      <c r="H219" t="s">
        <v>29</v>
      </c>
      <c r="I219">
        <v>2080</v>
      </c>
      <c r="J219" t="s">
        <v>24</v>
      </c>
    </row>
    <row r="220" spans="1:10" x14ac:dyDescent="0.25">
      <c r="A220" t="s">
        <v>245</v>
      </c>
      <c r="B220" t="s">
        <v>22</v>
      </c>
      <c r="C220" t="s">
        <v>34</v>
      </c>
      <c r="D220" t="s">
        <v>19</v>
      </c>
      <c r="E220" s="1">
        <v>0.4597222222222222</v>
      </c>
      <c r="F220" s="1">
        <v>0.50208333333333333</v>
      </c>
      <c r="G220">
        <v>10</v>
      </c>
      <c r="H220" t="s">
        <v>29</v>
      </c>
      <c r="I220">
        <v>5871</v>
      </c>
      <c r="J220" t="s">
        <v>20</v>
      </c>
    </row>
    <row r="221" spans="1:10" x14ac:dyDescent="0.25">
      <c r="A221" t="s">
        <v>246</v>
      </c>
      <c r="B221" t="s">
        <v>22</v>
      </c>
      <c r="C221" t="s">
        <v>26</v>
      </c>
      <c r="D221" t="s">
        <v>12</v>
      </c>
      <c r="E221" s="1">
        <v>0.68611111111111101</v>
      </c>
      <c r="F221" s="1">
        <v>0.72013888888888899</v>
      </c>
      <c r="G221">
        <v>33</v>
      </c>
      <c r="H221" t="s">
        <v>23</v>
      </c>
      <c r="I221">
        <v>2173</v>
      </c>
      <c r="J221" t="s">
        <v>20</v>
      </c>
    </row>
    <row r="222" spans="1:10" x14ac:dyDescent="0.25">
      <c r="A222" t="s">
        <v>247</v>
      </c>
      <c r="B222" t="s">
        <v>11</v>
      </c>
      <c r="C222" t="s">
        <v>13</v>
      </c>
      <c r="D222" t="s">
        <v>18</v>
      </c>
      <c r="E222" s="1">
        <v>0.72430555555555554</v>
      </c>
      <c r="F222" s="1">
        <v>0.17500000000000002</v>
      </c>
      <c r="G222">
        <v>122</v>
      </c>
      <c r="H222" t="s">
        <v>23</v>
      </c>
      <c r="I222">
        <v>5370</v>
      </c>
      <c r="J222" t="s">
        <v>24</v>
      </c>
    </row>
    <row r="223" spans="1:10" x14ac:dyDescent="0.25">
      <c r="A223" t="s">
        <v>248</v>
      </c>
      <c r="B223" t="s">
        <v>39</v>
      </c>
      <c r="C223" t="s">
        <v>18</v>
      </c>
      <c r="D223" t="s">
        <v>13</v>
      </c>
      <c r="E223" s="1">
        <v>0.93125000000000002</v>
      </c>
      <c r="F223" s="1">
        <v>0.6479166666666667</v>
      </c>
      <c r="G223">
        <v>0</v>
      </c>
      <c r="H223" t="s">
        <v>14</v>
      </c>
      <c r="I223">
        <v>4943</v>
      </c>
      <c r="J223" t="s">
        <v>20</v>
      </c>
    </row>
    <row r="224" spans="1:10" x14ac:dyDescent="0.25">
      <c r="A224" t="s">
        <v>249</v>
      </c>
      <c r="B224" t="s">
        <v>11</v>
      </c>
      <c r="C224" t="s">
        <v>18</v>
      </c>
      <c r="D224" t="s">
        <v>12</v>
      </c>
      <c r="E224" s="1">
        <v>0.22569444444444445</v>
      </c>
      <c r="F224" s="1">
        <v>0.82430555555555562</v>
      </c>
      <c r="G224">
        <v>57</v>
      </c>
      <c r="H224" t="s">
        <v>23</v>
      </c>
      <c r="I224">
        <v>3651</v>
      </c>
      <c r="J224" t="s">
        <v>27</v>
      </c>
    </row>
    <row r="225" spans="1:10" x14ac:dyDescent="0.25">
      <c r="A225" t="s">
        <v>250</v>
      </c>
      <c r="B225" t="s">
        <v>11</v>
      </c>
      <c r="C225" t="s">
        <v>18</v>
      </c>
      <c r="D225" t="s">
        <v>12</v>
      </c>
      <c r="E225" s="1">
        <v>0.66111111111111109</v>
      </c>
      <c r="F225" s="1">
        <v>1.5972222222222224E-2</v>
      </c>
      <c r="G225">
        <v>0</v>
      </c>
      <c r="H225" t="s">
        <v>29</v>
      </c>
      <c r="I225">
        <v>3913</v>
      </c>
      <c r="J225" t="s">
        <v>15</v>
      </c>
    </row>
    <row r="226" spans="1:10" x14ac:dyDescent="0.25">
      <c r="A226" t="s">
        <v>251</v>
      </c>
      <c r="B226" t="s">
        <v>17</v>
      </c>
      <c r="C226" t="s">
        <v>19</v>
      </c>
      <c r="D226" t="s">
        <v>12</v>
      </c>
      <c r="E226" s="1">
        <v>0.8125</v>
      </c>
      <c r="F226" s="1">
        <v>0.36180555555555555</v>
      </c>
      <c r="G226">
        <v>11</v>
      </c>
      <c r="H226" t="s">
        <v>29</v>
      </c>
      <c r="I226">
        <v>5938</v>
      </c>
      <c r="J226" t="s">
        <v>20</v>
      </c>
    </row>
    <row r="227" spans="1:10" x14ac:dyDescent="0.25">
      <c r="A227" t="s">
        <v>252</v>
      </c>
      <c r="B227" t="s">
        <v>39</v>
      </c>
      <c r="C227" t="s">
        <v>12</v>
      </c>
      <c r="D227" t="s">
        <v>13</v>
      </c>
      <c r="E227" s="1">
        <v>0.69444444444444453</v>
      </c>
      <c r="F227" s="1">
        <v>0.98541666666666661</v>
      </c>
      <c r="G227">
        <v>73</v>
      </c>
      <c r="H227" t="s">
        <v>23</v>
      </c>
      <c r="I227">
        <v>4314</v>
      </c>
      <c r="J227" t="s">
        <v>20</v>
      </c>
    </row>
    <row r="228" spans="1:10" x14ac:dyDescent="0.25">
      <c r="A228" t="s">
        <v>253</v>
      </c>
      <c r="B228" t="s">
        <v>17</v>
      </c>
      <c r="C228" t="s">
        <v>12</v>
      </c>
      <c r="D228" t="s">
        <v>34</v>
      </c>
      <c r="E228" s="1">
        <v>0.25069444444444444</v>
      </c>
      <c r="F228" s="1">
        <v>0.59722222222222221</v>
      </c>
      <c r="G228">
        <v>0</v>
      </c>
      <c r="H228" t="s">
        <v>14</v>
      </c>
      <c r="I228">
        <v>4630</v>
      </c>
      <c r="J228" t="s">
        <v>20</v>
      </c>
    </row>
    <row r="229" spans="1:10" x14ac:dyDescent="0.25">
      <c r="A229" t="s">
        <v>254</v>
      </c>
      <c r="B229" t="s">
        <v>22</v>
      </c>
      <c r="C229" t="s">
        <v>19</v>
      </c>
      <c r="D229" t="s">
        <v>34</v>
      </c>
      <c r="E229" s="1">
        <v>0.9902777777777777</v>
      </c>
      <c r="F229" s="1">
        <v>7.2916666666666671E-2</v>
      </c>
      <c r="G229">
        <v>0</v>
      </c>
      <c r="H229" t="s">
        <v>29</v>
      </c>
      <c r="I229">
        <v>2331</v>
      </c>
      <c r="J229" t="s">
        <v>20</v>
      </c>
    </row>
    <row r="230" spans="1:10" x14ac:dyDescent="0.25">
      <c r="A230" t="s">
        <v>255</v>
      </c>
      <c r="B230" t="s">
        <v>22</v>
      </c>
      <c r="C230" t="s">
        <v>18</v>
      </c>
      <c r="D230" t="s">
        <v>26</v>
      </c>
      <c r="E230" s="1">
        <v>0.68333333333333324</v>
      </c>
      <c r="F230" s="1">
        <v>0.42430555555555555</v>
      </c>
      <c r="G230">
        <v>1</v>
      </c>
      <c r="H230" t="s">
        <v>29</v>
      </c>
      <c r="I230">
        <v>4965</v>
      </c>
      <c r="J230" t="s">
        <v>27</v>
      </c>
    </row>
    <row r="231" spans="1:10" x14ac:dyDescent="0.25">
      <c r="A231" t="s">
        <v>256</v>
      </c>
      <c r="B231" t="s">
        <v>11</v>
      </c>
      <c r="C231" t="s">
        <v>18</v>
      </c>
      <c r="D231" t="s">
        <v>26</v>
      </c>
      <c r="E231" s="1">
        <v>0.8125</v>
      </c>
      <c r="F231" s="1">
        <v>0.26041666666666669</v>
      </c>
      <c r="G231">
        <v>57</v>
      </c>
      <c r="H231" t="s">
        <v>23</v>
      </c>
      <c r="I231">
        <v>3485</v>
      </c>
      <c r="J231" t="s">
        <v>27</v>
      </c>
    </row>
    <row r="232" spans="1:10" x14ac:dyDescent="0.25">
      <c r="A232" t="s">
        <v>257</v>
      </c>
      <c r="B232" t="s">
        <v>39</v>
      </c>
      <c r="C232" t="s">
        <v>34</v>
      </c>
      <c r="D232" t="s">
        <v>19</v>
      </c>
      <c r="E232" s="1">
        <v>0.94791666666666663</v>
      </c>
      <c r="F232" s="1">
        <v>0.63888888888888895</v>
      </c>
      <c r="G232">
        <v>0</v>
      </c>
      <c r="H232" t="s">
        <v>29</v>
      </c>
      <c r="I232">
        <v>5130</v>
      </c>
      <c r="J232" t="s">
        <v>27</v>
      </c>
    </row>
    <row r="233" spans="1:10" x14ac:dyDescent="0.25">
      <c r="A233" t="s">
        <v>258</v>
      </c>
      <c r="B233" t="s">
        <v>22</v>
      </c>
      <c r="C233" t="s">
        <v>18</v>
      </c>
      <c r="D233" t="s">
        <v>26</v>
      </c>
      <c r="E233" s="1">
        <v>0.53611111111111109</v>
      </c>
      <c r="F233" s="1">
        <v>0.49236111111111108</v>
      </c>
      <c r="G233">
        <v>38</v>
      </c>
      <c r="H233" t="s">
        <v>23</v>
      </c>
      <c r="I233">
        <v>2399</v>
      </c>
      <c r="J233" t="s">
        <v>27</v>
      </c>
    </row>
    <row r="234" spans="1:10" x14ac:dyDescent="0.25">
      <c r="A234" t="s">
        <v>259</v>
      </c>
      <c r="B234" t="s">
        <v>17</v>
      </c>
      <c r="C234" t="s">
        <v>13</v>
      </c>
      <c r="D234" t="s">
        <v>19</v>
      </c>
      <c r="E234" s="1">
        <v>0.4993055555555555</v>
      </c>
      <c r="F234" s="1">
        <v>0.6118055555555556</v>
      </c>
      <c r="G234">
        <v>31</v>
      </c>
      <c r="H234" t="s">
        <v>23</v>
      </c>
      <c r="I234">
        <v>3300</v>
      </c>
      <c r="J234" t="s">
        <v>24</v>
      </c>
    </row>
    <row r="235" spans="1:10" x14ac:dyDescent="0.25">
      <c r="A235" t="s">
        <v>260</v>
      </c>
      <c r="B235" t="s">
        <v>11</v>
      </c>
      <c r="C235" t="s">
        <v>34</v>
      </c>
      <c r="D235" t="s">
        <v>26</v>
      </c>
      <c r="E235" s="1">
        <v>0.73888888888888893</v>
      </c>
      <c r="F235" s="1">
        <v>0.33888888888888885</v>
      </c>
      <c r="G235">
        <v>3</v>
      </c>
      <c r="H235" t="s">
        <v>29</v>
      </c>
      <c r="I235">
        <v>2094</v>
      </c>
      <c r="J235" t="s">
        <v>20</v>
      </c>
    </row>
    <row r="236" spans="1:10" x14ac:dyDescent="0.25">
      <c r="A236" t="s">
        <v>261</v>
      </c>
      <c r="B236" t="s">
        <v>39</v>
      </c>
      <c r="C236" t="s">
        <v>34</v>
      </c>
      <c r="D236" t="s">
        <v>13</v>
      </c>
      <c r="E236" s="1">
        <v>0.84305555555555556</v>
      </c>
      <c r="F236" s="1">
        <v>4.5833333333333337E-2</v>
      </c>
      <c r="G236">
        <v>115</v>
      </c>
      <c r="H236" t="s">
        <v>23</v>
      </c>
      <c r="I236">
        <v>4585</v>
      </c>
      <c r="J236" t="s">
        <v>27</v>
      </c>
    </row>
    <row r="237" spans="1:10" x14ac:dyDescent="0.25">
      <c r="A237" t="s">
        <v>262</v>
      </c>
      <c r="B237" t="s">
        <v>39</v>
      </c>
      <c r="C237" t="s">
        <v>12</v>
      </c>
      <c r="D237" t="s">
        <v>19</v>
      </c>
      <c r="E237" s="1">
        <v>2.4305555555555556E-2</v>
      </c>
      <c r="F237" s="1">
        <v>0.22638888888888889</v>
      </c>
      <c r="G237">
        <v>55</v>
      </c>
      <c r="H237" t="s">
        <v>23</v>
      </c>
      <c r="I237">
        <v>5096</v>
      </c>
      <c r="J237" t="s">
        <v>24</v>
      </c>
    </row>
    <row r="238" spans="1:10" x14ac:dyDescent="0.25">
      <c r="A238" t="s">
        <v>263</v>
      </c>
      <c r="B238" t="s">
        <v>11</v>
      </c>
      <c r="C238" t="s">
        <v>12</v>
      </c>
      <c r="D238" t="s">
        <v>34</v>
      </c>
      <c r="E238" s="1">
        <v>0.4291666666666667</v>
      </c>
      <c r="F238" s="1">
        <v>0.8354166666666667</v>
      </c>
      <c r="G238">
        <v>0</v>
      </c>
      <c r="H238" t="s">
        <v>29</v>
      </c>
      <c r="I238">
        <v>1932</v>
      </c>
      <c r="J238" t="s">
        <v>20</v>
      </c>
    </row>
    <row r="239" spans="1:10" x14ac:dyDescent="0.25">
      <c r="A239" t="s">
        <v>264</v>
      </c>
      <c r="B239" t="s">
        <v>39</v>
      </c>
      <c r="C239" t="s">
        <v>18</v>
      </c>
      <c r="D239" t="s">
        <v>13</v>
      </c>
      <c r="E239" s="1">
        <v>0.5805555555555556</v>
      </c>
      <c r="F239" s="1">
        <v>0.24930555555555556</v>
      </c>
      <c r="G239">
        <v>37</v>
      </c>
      <c r="H239" t="s">
        <v>23</v>
      </c>
      <c r="I239">
        <v>1497</v>
      </c>
      <c r="J239" t="s">
        <v>24</v>
      </c>
    </row>
    <row r="240" spans="1:10" x14ac:dyDescent="0.25">
      <c r="A240" t="s">
        <v>265</v>
      </c>
      <c r="B240" t="s">
        <v>11</v>
      </c>
      <c r="C240" t="s">
        <v>19</v>
      </c>
      <c r="D240" t="s">
        <v>34</v>
      </c>
      <c r="E240" s="1">
        <v>4.1666666666666664E-2</v>
      </c>
      <c r="F240" s="1">
        <v>0.39999999999999997</v>
      </c>
      <c r="G240">
        <v>3</v>
      </c>
      <c r="H240" t="s">
        <v>29</v>
      </c>
      <c r="I240">
        <v>2079</v>
      </c>
      <c r="J240" t="s">
        <v>27</v>
      </c>
    </row>
    <row r="241" spans="1:10" x14ac:dyDescent="0.25">
      <c r="A241" t="s">
        <v>266</v>
      </c>
      <c r="B241" t="s">
        <v>22</v>
      </c>
      <c r="C241" t="s">
        <v>26</v>
      </c>
      <c r="D241" t="s">
        <v>18</v>
      </c>
      <c r="E241" s="1">
        <v>0.20416666666666669</v>
      </c>
      <c r="F241" s="1">
        <v>0.68680555555555556</v>
      </c>
      <c r="G241">
        <v>64</v>
      </c>
      <c r="H241" t="s">
        <v>23</v>
      </c>
      <c r="I241">
        <v>3435</v>
      </c>
      <c r="J241" t="s">
        <v>20</v>
      </c>
    </row>
    <row r="242" spans="1:10" x14ac:dyDescent="0.25">
      <c r="A242" t="s">
        <v>267</v>
      </c>
      <c r="B242" t="s">
        <v>22</v>
      </c>
      <c r="C242" t="s">
        <v>13</v>
      </c>
      <c r="D242" t="s">
        <v>19</v>
      </c>
      <c r="E242" s="1">
        <v>0.84444444444444444</v>
      </c>
      <c r="F242" s="1">
        <v>0.9243055555555556</v>
      </c>
      <c r="G242">
        <v>0</v>
      </c>
      <c r="H242" t="s">
        <v>29</v>
      </c>
      <c r="I242">
        <v>1315</v>
      </c>
      <c r="J242" t="s">
        <v>27</v>
      </c>
    </row>
    <row r="243" spans="1:10" x14ac:dyDescent="0.25">
      <c r="A243" t="s">
        <v>268</v>
      </c>
      <c r="B243" t="s">
        <v>39</v>
      </c>
      <c r="C243" t="s">
        <v>26</v>
      </c>
      <c r="D243" t="s">
        <v>12</v>
      </c>
      <c r="E243" s="1">
        <v>0.23541666666666669</v>
      </c>
      <c r="F243" s="1">
        <v>0.87291666666666667</v>
      </c>
      <c r="G243">
        <v>25</v>
      </c>
      <c r="H243" t="s">
        <v>23</v>
      </c>
      <c r="I243">
        <v>4521</v>
      </c>
      <c r="J243" t="s">
        <v>24</v>
      </c>
    </row>
    <row r="244" spans="1:10" x14ac:dyDescent="0.25">
      <c r="A244" t="s">
        <v>269</v>
      </c>
      <c r="B244" t="s">
        <v>17</v>
      </c>
      <c r="C244" t="s">
        <v>18</v>
      </c>
      <c r="D244" t="s">
        <v>26</v>
      </c>
      <c r="E244" s="1">
        <v>0.21388888888888891</v>
      </c>
      <c r="F244" s="1">
        <v>0.63888888888888895</v>
      </c>
      <c r="G244">
        <v>50</v>
      </c>
      <c r="H244" t="s">
        <v>23</v>
      </c>
      <c r="I244">
        <v>3232</v>
      </c>
      <c r="J244" t="s">
        <v>15</v>
      </c>
    </row>
    <row r="245" spans="1:10" x14ac:dyDescent="0.25">
      <c r="A245" t="s">
        <v>270</v>
      </c>
      <c r="B245" t="s">
        <v>11</v>
      </c>
      <c r="C245" t="s">
        <v>26</v>
      </c>
      <c r="D245" t="s">
        <v>18</v>
      </c>
      <c r="E245" s="1">
        <v>0.42986111111111108</v>
      </c>
      <c r="F245" s="1">
        <v>0.78194444444444444</v>
      </c>
      <c r="G245">
        <v>64</v>
      </c>
      <c r="H245" t="s">
        <v>23</v>
      </c>
      <c r="I245">
        <v>5893</v>
      </c>
      <c r="J245" t="s">
        <v>15</v>
      </c>
    </row>
    <row r="246" spans="1:10" x14ac:dyDescent="0.25">
      <c r="A246" t="s">
        <v>271</v>
      </c>
      <c r="B246" t="s">
        <v>17</v>
      </c>
      <c r="C246" t="s">
        <v>26</v>
      </c>
      <c r="D246" t="s">
        <v>19</v>
      </c>
      <c r="E246" s="1">
        <v>0.87986111111111109</v>
      </c>
      <c r="F246" s="1">
        <v>0.59652777777777777</v>
      </c>
      <c r="G246">
        <v>0</v>
      </c>
      <c r="H246" t="s">
        <v>29</v>
      </c>
      <c r="I246">
        <v>2508</v>
      </c>
      <c r="J246" t="s">
        <v>24</v>
      </c>
    </row>
    <row r="247" spans="1:10" x14ac:dyDescent="0.25">
      <c r="A247" t="s">
        <v>272</v>
      </c>
      <c r="B247" t="s">
        <v>11</v>
      </c>
      <c r="C247" t="s">
        <v>12</v>
      </c>
      <c r="D247" t="s">
        <v>18</v>
      </c>
      <c r="E247" s="1">
        <v>0.92152777777777783</v>
      </c>
      <c r="F247" s="1">
        <v>0.87361111111111101</v>
      </c>
      <c r="G247">
        <v>16</v>
      </c>
      <c r="H247" t="s">
        <v>29</v>
      </c>
      <c r="I247">
        <v>3616</v>
      </c>
      <c r="J247" t="s">
        <v>27</v>
      </c>
    </row>
    <row r="248" spans="1:10" x14ac:dyDescent="0.25">
      <c r="A248" t="s">
        <v>273</v>
      </c>
      <c r="B248" t="s">
        <v>39</v>
      </c>
      <c r="C248" t="s">
        <v>18</v>
      </c>
      <c r="D248" t="s">
        <v>34</v>
      </c>
      <c r="E248" s="1">
        <v>0.63124999999999998</v>
      </c>
      <c r="F248" s="1">
        <v>0.61597222222222225</v>
      </c>
      <c r="G248">
        <v>11</v>
      </c>
      <c r="H248" t="s">
        <v>29</v>
      </c>
      <c r="I248">
        <v>4260</v>
      </c>
      <c r="J248" t="s">
        <v>24</v>
      </c>
    </row>
    <row r="249" spans="1:10" x14ac:dyDescent="0.25">
      <c r="A249" t="s">
        <v>274</v>
      </c>
      <c r="B249" t="s">
        <v>39</v>
      </c>
      <c r="C249" t="s">
        <v>12</v>
      </c>
      <c r="D249" t="s">
        <v>18</v>
      </c>
      <c r="E249" s="1">
        <v>0.3215277777777778</v>
      </c>
      <c r="F249" s="1">
        <v>0.82986111111111116</v>
      </c>
      <c r="G249">
        <v>3</v>
      </c>
      <c r="H249" t="s">
        <v>29</v>
      </c>
      <c r="I249">
        <v>1870</v>
      </c>
      <c r="J249" t="s">
        <v>24</v>
      </c>
    </row>
    <row r="250" spans="1:10" x14ac:dyDescent="0.25">
      <c r="A250" t="s">
        <v>275</v>
      </c>
      <c r="B250" t="s">
        <v>17</v>
      </c>
      <c r="C250" t="s">
        <v>18</v>
      </c>
      <c r="D250" t="s">
        <v>26</v>
      </c>
      <c r="E250" s="1">
        <v>7.8472222222222221E-2</v>
      </c>
      <c r="F250" s="1">
        <v>0.74791666666666667</v>
      </c>
      <c r="G250">
        <v>100</v>
      </c>
      <c r="H250" t="s">
        <v>23</v>
      </c>
      <c r="I250">
        <v>5340</v>
      </c>
      <c r="J250" t="s">
        <v>20</v>
      </c>
    </row>
    <row r="251" spans="1:10" x14ac:dyDescent="0.25">
      <c r="A251" t="s">
        <v>276</v>
      </c>
      <c r="B251" t="s">
        <v>11</v>
      </c>
      <c r="C251" t="s">
        <v>18</v>
      </c>
      <c r="D251" t="s">
        <v>12</v>
      </c>
      <c r="E251" s="1">
        <v>0.68611111111111101</v>
      </c>
      <c r="F251" s="1">
        <v>0.15486111111111112</v>
      </c>
      <c r="G251">
        <v>46</v>
      </c>
      <c r="H251" t="s">
        <v>23</v>
      </c>
      <c r="I251">
        <v>2882</v>
      </c>
      <c r="J251" t="s">
        <v>24</v>
      </c>
    </row>
    <row r="252" spans="1:10" x14ac:dyDescent="0.25">
      <c r="A252" t="s">
        <v>277</v>
      </c>
      <c r="B252" t="s">
        <v>17</v>
      </c>
      <c r="C252" t="s">
        <v>13</v>
      </c>
      <c r="D252" t="s">
        <v>12</v>
      </c>
      <c r="E252" s="1">
        <v>0.58888888888888891</v>
      </c>
      <c r="F252" s="1">
        <v>0.68472222222222223</v>
      </c>
      <c r="G252">
        <v>0</v>
      </c>
      <c r="H252" t="s">
        <v>29</v>
      </c>
      <c r="I252">
        <v>4942</v>
      </c>
      <c r="J252" t="s">
        <v>15</v>
      </c>
    </row>
    <row r="253" spans="1:10" x14ac:dyDescent="0.25">
      <c r="A253" t="s">
        <v>278</v>
      </c>
      <c r="B253" t="s">
        <v>11</v>
      </c>
      <c r="C253" t="s">
        <v>18</v>
      </c>
      <c r="D253" t="s">
        <v>19</v>
      </c>
      <c r="E253" s="1">
        <v>0.9590277777777777</v>
      </c>
      <c r="F253" s="1">
        <v>0.51111111111111118</v>
      </c>
      <c r="G253">
        <v>66</v>
      </c>
      <c r="H253" t="s">
        <v>23</v>
      </c>
      <c r="I253">
        <v>1224</v>
      </c>
      <c r="J253" t="s">
        <v>20</v>
      </c>
    </row>
    <row r="254" spans="1:10" x14ac:dyDescent="0.25">
      <c r="A254" t="s">
        <v>279</v>
      </c>
      <c r="B254" t="s">
        <v>11</v>
      </c>
      <c r="C254" t="s">
        <v>18</v>
      </c>
      <c r="D254" t="s">
        <v>13</v>
      </c>
      <c r="E254" s="1">
        <v>0.9194444444444444</v>
      </c>
      <c r="F254" s="1">
        <v>0.7104166666666667</v>
      </c>
      <c r="G254">
        <v>0</v>
      </c>
      <c r="H254" t="s">
        <v>14</v>
      </c>
      <c r="I254">
        <v>1765</v>
      </c>
      <c r="J254" t="s">
        <v>24</v>
      </c>
    </row>
    <row r="255" spans="1:10" x14ac:dyDescent="0.25">
      <c r="A255" t="s">
        <v>280</v>
      </c>
      <c r="B255" t="s">
        <v>39</v>
      </c>
      <c r="C255" t="s">
        <v>13</v>
      </c>
      <c r="D255" t="s">
        <v>19</v>
      </c>
      <c r="E255" s="1">
        <v>0.8652777777777777</v>
      </c>
      <c r="F255" s="1">
        <v>0.85138888888888886</v>
      </c>
      <c r="G255">
        <v>71</v>
      </c>
      <c r="H255" t="s">
        <v>23</v>
      </c>
      <c r="I255">
        <v>4267</v>
      </c>
      <c r="J255" t="s">
        <v>24</v>
      </c>
    </row>
    <row r="256" spans="1:10" x14ac:dyDescent="0.25">
      <c r="A256" t="s">
        <v>281</v>
      </c>
      <c r="B256" t="s">
        <v>39</v>
      </c>
      <c r="C256" t="s">
        <v>19</v>
      </c>
      <c r="D256" t="s">
        <v>18</v>
      </c>
      <c r="E256" s="1">
        <v>0.87152777777777779</v>
      </c>
      <c r="F256" s="1">
        <v>0.46319444444444446</v>
      </c>
      <c r="G256">
        <v>0</v>
      </c>
      <c r="H256" t="s">
        <v>29</v>
      </c>
      <c r="I256">
        <v>2662</v>
      </c>
      <c r="J256" t="s">
        <v>24</v>
      </c>
    </row>
    <row r="257" spans="1:10" x14ac:dyDescent="0.25">
      <c r="A257" t="s">
        <v>282</v>
      </c>
      <c r="B257" t="s">
        <v>39</v>
      </c>
      <c r="C257" t="s">
        <v>18</v>
      </c>
      <c r="D257" t="s">
        <v>34</v>
      </c>
      <c r="E257" s="1">
        <v>3.3333333333333333E-2</v>
      </c>
      <c r="F257" s="1">
        <v>1.3194444444444444E-2</v>
      </c>
      <c r="G257">
        <v>10</v>
      </c>
      <c r="H257" t="s">
        <v>29</v>
      </c>
      <c r="I257">
        <v>4992</v>
      </c>
      <c r="J257" t="s">
        <v>24</v>
      </c>
    </row>
    <row r="258" spans="1:10" x14ac:dyDescent="0.25">
      <c r="A258" t="s">
        <v>283</v>
      </c>
      <c r="B258" t="s">
        <v>39</v>
      </c>
      <c r="C258" t="s">
        <v>18</v>
      </c>
      <c r="D258" t="s">
        <v>19</v>
      </c>
      <c r="E258" s="1">
        <v>0.59861111111111109</v>
      </c>
      <c r="F258" s="1">
        <v>0.17847222222222223</v>
      </c>
      <c r="G258">
        <v>80</v>
      </c>
      <c r="H258" t="s">
        <v>23</v>
      </c>
      <c r="I258">
        <v>2744</v>
      </c>
      <c r="J258" t="s">
        <v>15</v>
      </c>
    </row>
    <row r="259" spans="1:10" x14ac:dyDescent="0.25">
      <c r="A259" t="s">
        <v>284</v>
      </c>
      <c r="B259" t="s">
        <v>17</v>
      </c>
      <c r="C259" t="s">
        <v>13</v>
      </c>
      <c r="D259" t="s">
        <v>18</v>
      </c>
      <c r="E259" s="1">
        <v>0.30069444444444443</v>
      </c>
      <c r="F259" s="1">
        <v>8.7500000000000008E-2</v>
      </c>
      <c r="G259">
        <v>1</v>
      </c>
      <c r="H259" t="s">
        <v>29</v>
      </c>
      <c r="I259">
        <v>1475</v>
      </c>
      <c r="J259" t="s">
        <v>24</v>
      </c>
    </row>
    <row r="260" spans="1:10" x14ac:dyDescent="0.25">
      <c r="A260" t="s">
        <v>285</v>
      </c>
      <c r="B260" t="s">
        <v>17</v>
      </c>
      <c r="C260" t="s">
        <v>18</v>
      </c>
      <c r="D260" t="s">
        <v>13</v>
      </c>
      <c r="E260" s="1">
        <v>0.51944444444444449</v>
      </c>
      <c r="F260" s="1">
        <v>0.31527777777777777</v>
      </c>
      <c r="G260">
        <v>47</v>
      </c>
      <c r="H260" t="s">
        <v>23</v>
      </c>
      <c r="I260">
        <v>2979</v>
      </c>
      <c r="J260" t="s">
        <v>15</v>
      </c>
    </row>
    <row r="261" spans="1:10" x14ac:dyDescent="0.25">
      <c r="A261" t="s">
        <v>286</v>
      </c>
      <c r="B261" t="s">
        <v>39</v>
      </c>
      <c r="C261" t="s">
        <v>34</v>
      </c>
      <c r="D261" t="s">
        <v>12</v>
      </c>
      <c r="E261" s="1">
        <v>0.98333333333333339</v>
      </c>
      <c r="F261" s="1">
        <v>0.44166666666666665</v>
      </c>
      <c r="G261">
        <v>60</v>
      </c>
      <c r="H261" t="s">
        <v>23</v>
      </c>
      <c r="I261">
        <v>3826</v>
      </c>
      <c r="J261" t="s">
        <v>20</v>
      </c>
    </row>
    <row r="262" spans="1:10" x14ac:dyDescent="0.25">
      <c r="A262" t="s">
        <v>287</v>
      </c>
      <c r="B262" t="s">
        <v>39</v>
      </c>
      <c r="C262" t="s">
        <v>26</v>
      </c>
      <c r="D262" t="s">
        <v>34</v>
      </c>
      <c r="E262" s="1">
        <v>0.55486111111111114</v>
      </c>
      <c r="F262" s="1">
        <v>0.3354166666666667</v>
      </c>
      <c r="G262">
        <v>0</v>
      </c>
      <c r="H262" t="s">
        <v>29</v>
      </c>
      <c r="I262">
        <v>5760</v>
      </c>
      <c r="J262" t="s">
        <v>20</v>
      </c>
    </row>
    <row r="263" spans="1:10" x14ac:dyDescent="0.25">
      <c r="A263" t="s">
        <v>288</v>
      </c>
      <c r="B263" t="s">
        <v>17</v>
      </c>
      <c r="C263" t="s">
        <v>12</v>
      </c>
      <c r="D263" t="s">
        <v>19</v>
      </c>
      <c r="E263" s="1">
        <v>0.48680555555555555</v>
      </c>
      <c r="F263" s="1">
        <v>0.89166666666666661</v>
      </c>
      <c r="G263">
        <v>27</v>
      </c>
      <c r="H263" t="s">
        <v>23</v>
      </c>
      <c r="I263">
        <v>5496</v>
      </c>
      <c r="J263" t="s">
        <v>27</v>
      </c>
    </row>
    <row r="264" spans="1:10" x14ac:dyDescent="0.25">
      <c r="A264" t="s">
        <v>289</v>
      </c>
      <c r="B264" t="s">
        <v>11</v>
      </c>
      <c r="C264" t="s">
        <v>12</v>
      </c>
      <c r="D264" t="s">
        <v>19</v>
      </c>
      <c r="E264" s="1">
        <v>0.50763888888888886</v>
      </c>
      <c r="F264" s="1">
        <v>0.72916666666666663</v>
      </c>
      <c r="G264">
        <v>0</v>
      </c>
      <c r="H264" t="s">
        <v>29</v>
      </c>
      <c r="I264">
        <v>3174</v>
      </c>
      <c r="J264" t="s">
        <v>20</v>
      </c>
    </row>
    <row r="265" spans="1:10" x14ac:dyDescent="0.25">
      <c r="A265" t="s">
        <v>290</v>
      </c>
      <c r="B265" t="s">
        <v>17</v>
      </c>
      <c r="C265" t="s">
        <v>26</v>
      </c>
      <c r="D265" t="s">
        <v>34</v>
      </c>
      <c r="E265" s="1">
        <v>0.72638888888888886</v>
      </c>
      <c r="F265" s="1">
        <v>0.56597222222222221</v>
      </c>
      <c r="G265">
        <v>0</v>
      </c>
      <c r="H265" t="s">
        <v>29</v>
      </c>
      <c r="I265">
        <v>5541</v>
      </c>
      <c r="J265" t="s">
        <v>20</v>
      </c>
    </row>
    <row r="266" spans="1:10" x14ac:dyDescent="0.25">
      <c r="A266" t="s">
        <v>291</v>
      </c>
      <c r="B266" t="s">
        <v>11</v>
      </c>
      <c r="C266" t="s">
        <v>19</v>
      </c>
      <c r="D266" t="s">
        <v>34</v>
      </c>
      <c r="E266" s="1">
        <v>0.83680555555555547</v>
      </c>
      <c r="F266" s="1">
        <v>0.62083333333333335</v>
      </c>
      <c r="G266">
        <v>19</v>
      </c>
      <c r="H266" t="s">
        <v>29</v>
      </c>
      <c r="I266">
        <v>4239</v>
      </c>
      <c r="J266" t="s">
        <v>15</v>
      </c>
    </row>
    <row r="267" spans="1:10" x14ac:dyDescent="0.25">
      <c r="A267" t="s">
        <v>292</v>
      </c>
      <c r="B267" t="s">
        <v>22</v>
      </c>
      <c r="C267" t="s">
        <v>18</v>
      </c>
      <c r="D267" t="s">
        <v>34</v>
      </c>
      <c r="E267" s="1">
        <v>0.90138888888888891</v>
      </c>
      <c r="F267" s="1">
        <v>0.79305555555555562</v>
      </c>
      <c r="G267">
        <v>0</v>
      </c>
      <c r="H267" t="s">
        <v>29</v>
      </c>
      <c r="I267">
        <v>1796</v>
      </c>
      <c r="J267" t="s">
        <v>20</v>
      </c>
    </row>
    <row r="268" spans="1:10" x14ac:dyDescent="0.25">
      <c r="A268" t="s">
        <v>293</v>
      </c>
      <c r="B268" t="s">
        <v>39</v>
      </c>
      <c r="C268" t="s">
        <v>18</v>
      </c>
      <c r="D268" t="s">
        <v>12</v>
      </c>
      <c r="E268" s="1">
        <v>0.42986111111111108</v>
      </c>
      <c r="F268" s="1">
        <v>9.0277777777777787E-3</v>
      </c>
      <c r="G268">
        <v>95</v>
      </c>
      <c r="H268" t="s">
        <v>23</v>
      </c>
      <c r="I268">
        <v>2756</v>
      </c>
      <c r="J268" t="s">
        <v>15</v>
      </c>
    </row>
    <row r="269" spans="1:10" x14ac:dyDescent="0.25">
      <c r="A269" t="s">
        <v>294</v>
      </c>
      <c r="B269" t="s">
        <v>39</v>
      </c>
      <c r="C269" t="s">
        <v>12</v>
      </c>
      <c r="D269" t="s">
        <v>19</v>
      </c>
      <c r="E269" s="1">
        <v>0.54027777777777775</v>
      </c>
      <c r="F269" s="1">
        <v>0.31597222222222221</v>
      </c>
      <c r="G269">
        <v>0</v>
      </c>
      <c r="H269" t="s">
        <v>29</v>
      </c>
      <c r="I269">
        <v>3834</v>
      </c>
      <c r="J269" t="s">
        <v>27</v>
      </c>
    </row>
    <row r="270" spans="1:10" x14ac:dyDescent="0.25">
      <c r="A270" t="s">
        <v>295</v>
      </c>
      <c r="B270" t="s">
        <v>11</v>
      </c>
      <c r="C270" t="s">
        <v>19</v>
      </c>
      <c r="D270" t="s">
        <v>18</v>
      </c>
      <c r="E270" s="1">
        <v>0.38611111111111113</v>
      </c>
      <c r="F270" s="1">
        <v>0.48055555555555557</v>
      </c>
      <c r="G270">
        <v>12</v>
      </c>
      <c r="H270" t="s">
        <v>29</v>
      </c>
      <c r="I270">
        <v>5273</v>
      </c>
      <c r="J270" t="s">
        <v>24</v>
      </c>
    </row>
    <row r="271" spans="1:10" x14ac:dyDescent="0.25">
      <c r="A271" t="s">
        <v>296</v>
      </c>
      <c r="B271" t="s">
        <v>11</v>
      </c>
      <c r="C271" t="s">
        <v>13</v>
      </c>
      <c r="D271" t="s">
        <v>18</v>
      </c>
      <c r="E271" s="1">
        <v>0.26597222222222222</v>
      </c>
      <c r="F271" s="1">
        <v>0.43472222222222223</v>
      </c>
      <c r="G271">
        <v>35</v>
      </c>
      <c r="H271" t="s">
        <v>23</v>
      </c>
      <c r="I271">
        <v>1574</v>
      </c>
      <c r="J271" t="s">
        <v>20</v>
      </c>
    </row>
    <row r="272" spans="1:10" x14ac:dyDescent="0.25">
      <c r="A272" t="s">
        <v>297</v>
      </c>
      <c r="B272" t="s">
        <v>22</v>
      </c>
      <c r="C272" t="s">
        <v>12</v>
      </c>
      <c r="D272" t="s">
        <v>34</v>
      </c>
      <c r="E272" s="1">
        <v>0.38125000000000003</v>
      </c>
      <c r="F272" s="1">
        <v>0.26458333333333334</v>
      </c>
      <c r="G272">
        <v>0</v>
      </c>
      <c r="H272" t="s">
        <v>14</v>
      </c>
      <c r="I272">
        <v>3084</v>
      </c>
      <c r="J272" t="s">
        <v>24</v>
      </c>
    </row>
    <row r="273" spans="1:10" x14ac:dyDescent="0.25">
      <c r="A273" t="s">
        <v>298</v>
      </c>
      <c r="B273" t="s">
        <v>11</v>
      </c>
      <c r="C273" t="s">
        <v>18</v>
      </c>
      <c r="D273" t="s">
        <v>34</v>
      </c>
      <c r="E273" s="1">
        <v>0.3666666666666667</v>
      </c>
      <c r="F273" s="1">
        <v>0.65694444444444444</v>
      </c>
      <c r="G273">
        <v>0</v>
      </c>
      <c r="H273" t="s">
        <v>29</v>
      </c>
      <c r="I273">
        <v>5218</v>
      </c>
      <c r="J273" t="s">
        <v>24</v>
      </c>
    </row>
    <row r="274" spans="1:10" x14ac:dyDescent="0.25">
      <c r="A274" t="s">
        <v>299</v>
      </c>
      <c r="B274" t="s">
        <v>22</v>
      </c>
      <c r="C274" t="s">
        <v>34</v>
      </c>
      <c r="D274" t="s">
        <v>19</v>
      </c>
      <c r="E274" s="1">
        <v>0.24861111111111112</v>
      </c>
      <c r="F274" s="1">
        <v>0.7368055555555556</v>
      </c>
      <c r="G274">
        <v>76</v>
      </c>
      <c r="H274" t="s">
        <v>23</v>
      </c>
      <c r="I274">
        <v>1681</v>
      </c>
      <c r="J274" t="s">
        <v>15</v>
      </c>
    </row>
    <row r="275" spans="1:10" x14ac:dyDescent="0.25">
      <c r="A275" t="s">
        <v>300</v>
      </c>
      <c r="B275" t="s">
        <v>22</v>
      </c>
      <c r="C275" t="s">
        <v>13</v>
      </c>
      <c r="D275" t="s">
        <v>34</v>
      </c>
      <c r="E275" s="1">
        <v>0.20347222222222219</v>
      </c>
      <c r="F275" s="1">
        <v>0.84305555555555556</v>
      </c>
      <c r="G275">
        <v>30</v>
      </c>
      <c r="H275" t="s">
        <v>23</v>
      </c>
      <c r="I275">
        <v>1756</v>
      </c>
      <c r="J275" t="s">
        <v>20</v>
      </c>
    </row>
    <row r="276" spans="1:10" x14ac:dyDescent="0.25">
      <c r="A276" t="s">
        <v>301</v>
      </c>
      <c r="B276" t="s">
        <v>11</v>
      </c>
      <c r="C276" t="s">
        <v>13</v>
      </c>
      <c r="D276" t="s">
        <v>26</v>
      </c>
      <c r="E276" s="1">
        <v>6.8749999999999992E-2</v>
      </c>
      <c r="F276" s="1">
        <v>0.86249999999999993</v>
      </c>
      <c r="G276">
        <v>0</v>
      </c>
      <c r="H276" t="s">
        <v>29</v>
      </c>
      <c r="I276">
        <v>5158</v>
      </c>
      <c r="J276" t="s">
        <v>24</v>
      </c>
    </row>
    <row r="277" spans="1:10" x14ac:dyDescent="0.25">
      <c r="A277" t="s">
        <v>302</v>
      </c>
      <c r="B277" t="s">
        <v>22</v>
      </c>
      <c r="C277" t="s">
        <v>13</v>
      </c>
      <c r="D277" t="s">
        <v>34</v>
      </c>
      <c r="E277" s="1">
        <v>6.9444444444444447E-4</v>
      </c>
      <c r="F277" s="1">
        <v>0.69861111111111107</v>
      </c>
      <c r="G277">
        <v>48</v>
      </c>
      <c r="H277" t="s">
        <v>23</v>
      </c>
      <c r="I277">
        <v>3450</v>
      </c>
      <c r="J277" t="s">
        <v>27</v>
      </c>
    </row>
    <row r="278" spans="1:10" x14ac:dyDescent="0.25">
      <c r="A278" t="s">
        <v>303</v>
      </c>
      <c r="B278" t="s">
        <v>22</v>
      </c>
      <c r="C278" t="s">
        <v>13</v>
      </c>
      <c r="D278" t="s">
        <v>12</v>
      </c>
      <c r="E278" s="1">
        <v>0.21249999999999999</v>
      </c>
      <c r="F278" s="1">
        <v>0.14791666666666667</v>
      </c>
      <c r="G278">
        <v>37</v>
      </c>
      <c r="H278" t="s">
        <v>23</v>
      </c>
      <c r="I278">
        <v>2419</v>
      </c>
      <c r="J278" t="s">
        <v>20</v>
      </c>
    </row>
    <row r="279" spans="1:10" x14ac:dyDescent="0.25">
      <c r="A279" t="s">
        <v>304</v>
      </c>
      <c r="B279" t="s">
        <v>11</v>
      </c>
      <c r="C279" t="s">
        <v>34</v>
      </c>
      <c r="D279" t="s">
        <v>12</v>
      </c>
      <c r="E279" s="1">
        <v>0.36805555555555558</v>
      </c>
      <c r="F279" s="1">
        <v>0.50347222222222221</v>
      </c>
      <c r="G279">
        <v>5</v>
      </c>
      <c r="H279" t="s">
        <v>29</v>
      </c>
      <c r="I279">
        <v>4256</v>
      </c>
      <c r="J279" t="s">
        <v>24</v>
      </c>
    </row>
    <row r="280" spans="1:10" x14ac:dyDescent="0.25">
      <c r="A280" t="s">
        <v>305</v>
      </c>
      <c r="B280" t="s">
        <v>39</v>
      </c>
      <c r="C280" t="s">
        <v>19</v>
      </c>
      <c r="D280" t="s">
        <v>12</v>
      </c>
      <c r="E280" s="1">
        <v>0.40486111111111112</v>
      </c>
      <c r="F280" s="1">
        <v>0.11180555555555556</v>
      </c>
      <c r="G280">
        <v>32</v>
      </c>
      <c r="H280" t="s">
        <v>23</v>
      </c>
      <c r="I280">
        <v>1459</v>
      </c>
      <c r="J280" t="s">
        <v>15</v>
      </c>
    </row>
    <row r="281" spans="1:10" x14ac:dyDescent="0.25">
      <c r="A281" t="s">
        <v>306</v>
      </c>
      <c r="B281" t="s">
        <v>22</v>
      </c>
      <c r="C281" t="s">
        <v>19</v>
      </c>
      <c r="D281" t="s">
        <v>18</v>
      </c>
      <c r="E281" s="1">
        <v>6.9444444444444434E-2</v>
      </c>
      <c r="F281" s="1">
        <v>3.0555555555555555E-2</v>
      </c>
      <c r="G281">
        <v>14</v>
      </c>
      <c r="H281" t="s">
        <v>29</v>
      </c>
      <c r="I281">
        <v>2603</v>
      </c>
      <c r="J281" t="s">
        <v>15</v>
      </c>
    </row>
    <row r="282" spans="1:10" x14ac:dyDescent="0.25">
      <c r="A282" t="s">
        <v>307</v>
      </c>
      <c r="B282" t="s">
        <v>11</v>
      </c>
      <c r="C282" t="s">
        <v>19</v>
      </c>
      <c r="D282" t="s">
        <v>18</v>
      </c>
      <c r="E282" s="1">
        <v>0.78749999999999998</v>
      </c>
      <c r="F282" s="1">
        <v>0.16458333333333333</v>
      </c>
      <c r="G282">
        <v>34</v>
      </c>
      <c r="H282" t="s">
        <v>23</v>
      </c>
      <c r="I282">
        <v>5526</v>
      </c>
      <c r="J282" t="s">
        <v>15</v>
      </c>
    </row>
    <row r="283" spans="1:10" x14ac:dyDescent="0.25">
      <c r="A283" t="s">
        <v>308</v>
      </c>
      <c r="B283" t="s">
        <v>22</v>
      </c>
      <c r="C283" t="s">
        <v>34</v>
      </c>
      <c r="D283" t="s">
        <v>26</v>
      </c>
      <c r="E283" s="1">
        <v>0.3347222222222222</v>
      </c>
      <c r="F283" s="1">
        <v>0.11319444444444444</v>
      </c>
      <c r="G283">
        <v>56</v>
      </c>
      <c r="H283" t="s">
        <v>23</v>
      </c>
      <c r="I283">
        <v>3496</v>
      </c>
      <c r="J283" t="s">
        <v>15</v>
      </c>
    </row>
    <row r="284" spans="1:10" x14ac:dyDescent="0.25">
      <c r="A284" t="s">
        <v>309</v>
      </c>
      <c r="B284" t="s">
        <v>39</v>
      </c>
      <c r="C284" t="s">
        <v>34</v>
      </c>
      <c r="D284" t="s">
        <v>19</v>
      </c>
      <c r="E284" s="1">
        <v>0.75624999999999998</v>
      </c>
      <c r="F284" s="1">
        <v>0.95277777777777783</v>
      </c>
      <c r="G284">
        <v>0</v>
      </c>
      <c r="H284" t="s">
        <v>14</v>
      </c>
      <c r="I284">
        <v>4462</v>
      </c>
      <c r="J284" t="s">
        <v>15</v>
      </c>
    </row>
    <row r="285" spans="1:10" x14ac:dyDescent="0.25">
      <c r="A285" t="s">
        <v>310</v>
      </c>
      <c r="B285" t="s">
        <v>22</v>
      </c>
      <c r="C285" t="s">
        <v>26</v>
      </c>
      <c r="D285" t="s">
        <v>34</v>
      </c>
      <c r="E285" s="1">
        <v>0.9145833333333333</v>
      </c>
      <c r="F285" s="1">
        <v>0.72291666666666676</v>
      </c>
      <c r="G285">
        <v>0</v>
      </c>
      <c r="H285" t="s">
        <v>29</v>
      </c>
      <c r="I285">
        <v>4344</v>
      </c>
      <c r="J285" t="s">
        <v>20</v>
      </c>
    </row>
    <row r="286" spans="1:10" x14ac:dyDescent="0.25">
      <c r="A286" t="s">
        <v>311</v>
      </c>
      <c r="B286" t="s">
        <v>11</v>
      </c>
      <c r="C286" t="s">
        <v>12</v>
      </c>
      <c r="D286" t="s">
        <v>13</v>
      </c>
      <c r="E286" s="1">
        <v>4.5833333333333337E-2</v>
      </c>
      <c r="F286" s="1">
        <v>0.55138888888888882</v>
      </c>
      <c r="G286">
        <v>115</v>
      </c>
      <c r="H286" t="s">
        <v>23</v>
      </c>
      <c r="I286">
        <v>1822</v>
      </c>
      <c r="J286" t="s">
        <v>27</v>
      </c>
    </row>
    <row r="287" spans="1:10" x14ac:dyDescent="0.25">
      <c r="A287" t="s">
        <v>312</v>
      </c>
      <c r="B287" t="s">
        <v>22</v>
      </c>
      <c r="C287" t="s">
        <v>18</v>
      </c>
      <c r="D287" t="s">
        <v>12</v>
      </c>
      <c r="E287" s="1">
        <v>0.41736111111111113</v>
      </c>
      <c r="F287" s="1">
        <v>0.84513888888888899</v>
      </c>
      <c r="G287">
        <v>0</v>
      </c>
      <c r="H287" t="s">
        <v>29</v>
      </c>
      <c r="I287">
        <v>4890</v>
      </c>
      <c r="J287" t="s">
        <v>24</v>
      </c>
    </row>
    <row r="288" spans="1:10" x14ac:dyDescent="0.25">
      <c r="A288" t="s">
        <v>313</v>
      </c>
      <c r="B288" t="s">
        <v>22</v>
      </c>
      <c r="C288" t="s">
        <v>34</v>
      </c>
      <c r="D288" t="s">
        <v>19</v>
      </c>
      <c r="E288" s="1">
        <v>0.5493055555555556</v>
      </c>
      <c r="F288" s="1">
        <v>0.90069444444444446</v>
      </c>
      <c r="G288">
        <v>23</v>
      </c>
      <c r="H288" t="s">
        <v>23</v>
      </c>
      <c r="I288">
        <v>4313</v>
      </c>
      <c r="J288" t="s">
        <v>15</v>
      </c>
    </row>
    <row r="289" spans="1:10" x14ac:dyDescent="0.25">
      <c r="A289" t="s">
        <v>314</v>
      </c>
      <c r="B289" t="s">
        <v>17</v>
      </c>
      <c r="C289" t="s">
        <v>18</v>
      </c>
      <c r="D289" t="s">
        <v>26</v>
      </c>
      <c r="E289" s="1">
        <v>9.5138888888888884E-2</v>
      </c>
      <c r="F289" s="1">
        <v>0.18333333333333335</v>
      </c>
      <c r="G289">
        <v>53</v>
      </c>
      <c r="H289" t="s">
        <v>23</v>
      </c>
      <c r="I289">
        <v>2463</v>
      </c>
      <c r="J289" t="s">
        <v>24</v>
      </c>
    </row>
    <row r="290" spans="1:10" x14ac:dyDescent="0.25">
      <c r="A290" t="s">
        <v>315</v>
      </c>
      <c r="B290" t="s">
        <v>17</v>
      </c>
      <c r="C290" t="s">
        <v>26</v>
      </c>
      <c r="D290" t="s">
        <v>19</v>
      </c>
      <c r="E290" s="1">
        <v>0.39444444444444443</v>
      </c>
      <c r="F290" s="1">
        <v>0.4916666666666667</v>
      </c>
      <c r="G290">
        <v>41</v>
      </c>
      <c r="H290" t="s">
        <v>23</v>
      </c>
      <c r="I290">
        <v>3409</v>
      </c>
      <c r="J290" t="s">
        <v>15</v>
      </c>
    </row>
    <row r="291" spans="1:10" x14ac:dyDescent="0.25">
      <c r="A291" t="s">
        <v>316</v>
      </c>
      <c r="B291" t="s">
        <v>22</v>
      </c>
      <c r="C291" t="s">
        <v>34</v>
      </c>
      <c r="D291" t="s">
        <v>13</v>
      </c>
      <c r="E291" s="1">
        <v>0.73263888888888884</v>
      </c>
      <c r="F291" s="1">
        <v>0.68472222222222223</v>
      </c>
      <c r="G291">
        <v>5</v>
      </c>
      <c r="H291" t="s">
        <v>29</v>
      </c>
      <c r="I291">
        <v>2046</v>
      </c>
      <c r="J291" t="s">
        <v>15</v>
      </c>
    </row>
    <row r="292" spans="1:10" x14ac:dyDescent="0.25">
      <c r="A292" t="s">
        <v>317</v>
      </c>
      <c r="B292" t="s">
        <v>11</v>
      </c>
      <c r="C292" t="s">
        <v>13</v>
      </c>
      <c r="D292" t="s">
        <v>19</v>
      </c>
      <c r="E292" s="1">
        <v>0.5</v>
      </c>
      <c r="F292" s="1">
        <v>0.39305555555555555</v>
      </c>
      <c r="G292">
        <v>21</v>
      </c>
      <c r="H292" t="s">
        <v>23</v>
      </c>
      <c r="I292">
        <v>4376</v>
      </c>
      <c r="J292" t="s">
        <v>15</v>
      </c>
    </row>
    <row r="293" spans="1:10" x14ac:dyDescent="0.25">
      <c r="A293" t="s">
        <v>318</v>
      </c>
      <c r="B293" t="s">
        <v>39</v>
      </c>
      <c r="C293" t="s">
        <v>12</v>
      </c>
      <c r="D293" t="s">
        <v>18</v>
      </c>
      <c r="E293" s="1">
        <v>0.7729166666666667</v>
      </c>
      <c r="F293" s="1">
        <v>0.23819444444444446</v>
      </c>
      <c r="G293">
        <v>10</v>
      </c>
      <c r="H293" t="s">
        <v>29</v>
      </c>
      <c r="I293">
        <v>4318</v>
      </c>
      <c r="J293" t="s">
        <v>20</v>
      </c>
    </row>
    <row r="294" spans="1:10" x14ac:dyDescent="0.25">
      <c r="A294" t="s">
        <v>319</v>
      </c>
      <c r="B294" t="s">
        <v>22</v>
      </c>
      <c r="C294" t="s">
        <v>34</v>
      </c>
      <c r="D294" t="s">
        <v>19</v>
      </c>
      <c r="E294" s="1">
        <v>0.16944444444444443</v>
      </c>
      <c r="F294" s="1">
        <v>0.22708333333333333</v>
      </c>
      <c r="G294">
        <v>6</v>
      </c>
      <c r="H294" t="s">
        <v>29</v>
      </c>
      <c r="I294">
        <v>3460</v>
      </c>
      <c r="J294" t="s">
        <v>24</v>
      </c>
    </row>
    <row r="295" spans="1:10" x14ac:dyDescent="0.25">
      <c r="A295" t="s">
        <v>320</v>
      </c>
      <c r="B295" t="s">
        <v>11</v>
      </c>
      <c r="C295" t="s">
        <v>26</v>
      </c>
      <c r="D295" t="s">
        <v>18</v>
      </c>
      <c r="E295" s="1">
        <v>0.34375</v>
      </c>
      <c r="F295" s="1">
        <v>0.98611111111111116</v>
      </c>
      <c r="G295">
        <v>63</v>
      </c>
      <c r="H295" t="s">
        <v>23</v>
      </c>
      <c r="I295">
        <v>5261</v>
      </c>
      <c r="J295" t="s">
        <v>20</v>
      </c>
    </row>
    <row r="296" spans="1:10" x14ac:dyDescent="0.25">
      <c r="A296" t="s">
        <v>321</v>
      </c>
      <c r="B296" t="s">
        <v>17</v>
      </c>
      <c r="C296" t="s">
        <v>19</v>
      </c>
      <c r="D296" t="s">
        <v>13</v>
      </c>
      <c r="E296" s="1">
        <v>0.51458333333333328</v>
      </c>
      <c r="F296" s="1">
        <v>0.80833333333333324</v>
      </c>
      <c r="G296">
        <v>44</v>
      </c>
      <c r="H296" t="s">
        <v>23</v>
      </c>
      <c r="I296">
        <v>3899</v>
      </c>
      <c r="J296" t="s">
        <v>24</v>
      </c>
    </row>
    <row r="297" spans="1:10" x14ac:dyDescent="0.25">
      <c r="A297" t="s">
        <v>322</v>
      </c>
      <c r="B297" t="s">
        <v>39</v>
      </c>
      <c r="C297" t="s">
        <v>26</v>
      </c>
      <c r="D297" t="s">
        <v>18</v>
      </c>
      <c r="E297" s="1">
        <v>0.3888888888888889</v>
      </c>
      <c r="F297" s="1">
        <v>0.8222222222222223</v>
      </c>
      <c r="G297">
        <v>2</v>
      </c>
      <c r="H297" t="s">
        <v>29</v>
      </c>
      <c r="I297">
        <v>2845</v>
      </c>
      <c r="J297" t="s">
        <v>24</v>
      </c>
    </row>
    <row r="298" spans="1:10" x14ac:dyDescent="0.25">
      <c r="A298" t="s">
        <v>323</v>
      </c>
      <c r="B298" t="s">
        <v>11</v>
      </c>
      <c r="C298" t="s">
        <v>26</v>
      </c>
      <c r="D298" t="s">
        <v>34</v>
      </c>
      <c r="E298" s="1">
        <v>0.40763888888888888</v>
      </c>
      <c r="F298" s="1">
        <v>0.94444444444444453</v>
      </c>
      <c r="G298">
        <v>65</v>
      </c>
      <c r="H298" t="s">
        <v>23</v>
      </c>
      <c r="I298">
        <v>5222</v>
      </c>
      <c r="J298" t="s">
        <v>20</v>
      </c>
    </row>
    <row r="299" spans="1:10" x14ac:dyDescent="0.25">
      <c r="A299" t="s">
        <v>324</v>
      </c>
      <c r="B299" t="s">
        <v>22</v>
      </c>
      <c r="C299" t="s">
        <v>26</v>
      </c>
      <c r="D299" t="s">
        <v>18</v>
      </c>
      <c r="E299" s="1">
        <v>0.46319444444444446</v>
      </c>
      <c r="F299" s="1">
        <v>0.7583333333333333</v>
      </c>
      <c r="G299">
        <v>42</v>
      </c>
      <c r="H299" t="s">
        <v>23</v>
      </c>
      <c r="I299">
        <v>5669</v>
      </c>
      <c r="J299" t="s">
        <v>20</v>
      </c>
    </row>
    <row r="300" spans="1:10" x14ac:dyDescent="0.25">
      <c r="A300" t="s">
        <v>325</v>
      </c>
      <c r="B300" t="s">
        <v>22</v>
      </c>
      <c r="C300" t="s">
        <v>12</v>
      </c>
      <c r="D300" t="s">
        <v>18</v>
      </c>
      <c r="E300" s="1">
        <v>0.92569444444444438</v>
      </c>
      <c r="F300" s="1">
        <v>0.61875000000000002</v>
      </c>
      <c r="G300">
        <v>0</v>
      </c>
      <c r="H300" t="s">
        <v>14</v>
      </c>
      <c r="I300">
        <v>3586</v>
      </c>
      <c r="J300" t="s">
        <v>15</v>
      </c>
    </row>
    <row r="301" spans="1:10" x14ac:dyDescent="0.25">
      <c r="A301" t="s">
        <v>326</v>
      </c>
      <c r="B301" t="s">
        <v>11</v>
      </c>
      <c r="C301" t="s">
        <v>19</v>
      </c>
      <c r="D301" t="s">
        <v>18</v>
      </c>
      <c r="E301" s="1">
        <v>0.30277777777777776</v>
      </c>
      <c r="F301" s="1">
        <v>0.88124999999999998</v>
      </c>
      <c r="G301">
        <v>55</v>
      </c>
      <c r="H301" t="s">
        <v>23</v>
      </c>
      <c r="I301">
        <v>4666</v>
      </c>
      <c r="J30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topLeftCell="A16" workbookViewId="0">
      <selection activeCell="F34" sqref="F34"/>
    </sheetView>
  </sheetViews>
  <sheetFormatPr baseColWidth="10" defaultRowHeight="15" x14ac:dyDescent="0.25"/>
  <cols>
    <col min="1" max="1" width="13.140625" customWidth="1"/>
    <col min="2" max="2" width="18.85546875" customWidth="1"/>
    <col min="4" max="4" width="39.42578125" customWidth="1"/>
    <col min="5" max="5" width="22.42578125" customWidth="1"/>
    <col min="6" max="6" width="20.5703125" customWidth="1"/>
    <col min="7" max="7" width="12" customWidth="1"/>
  </cols>
  <sheetData>
    <row r="1" spans="1:6" x14ac:dyDescent="0.25">
      <c r="A1" t="s">
        <v>327</v>
      </c>
      <c r="B1" t="s">
        <v>328</v>
      </c>
      <c r="D1" t="s">
        <v>327</v>
      </c>
      <c r="E1" t="s">
        <v>329</v>
      </c>
      <c r="F1" t="s">
        <v>330</v>
      </c>
    </row>
    <row r="2" spans="1:6" x14ac:dyDescent="0.25">
      <c r="A2" t="s">
        <v>11</v>
      </c>
      <c r="B2">
        <f>COUNTIF(datos!$B:$B,"VivaFly")</f>
        <v>84</v>
      </c>
      <c r="D2" t="str">
        <f>datos!B2</f>
        <v>VivaFly</v>
      </c>
      <c r="E2">
        <f>COUNTIFS(datos!$B:$B, $A2, datos!$H:$H, "Cancelled")</f>
        <v>4</v>
      </c>
      <c r="F2">
        <f>SUMIFS(datos!$I:$I, datos!$B:$B, $A2, datos!$H:$H, "Cancelled")</f>
        <v>9244</v>
      </c>
    </row>
    <row r="3" spans="1:6" x14ac:dyDescent="0.25">
      <c r="A3" t="s">
        <v>17</v>
      </c>
      <c r="B3">
        <f>COUNTIF(datos!$B:$B,"Aeromx")</f>
        <v>61</v>
      </c>
      <c r="D3" t="s">
        <v>17</v>
      </c>
      <c r="E3">
        <f>COUNTIFS(datos!$B:$B, $A3, datos!$H:$H, "Cancelled")</f>
        <v>3</v>
      </c>
      <c r="F3">
        <f>SUMIFS(datos!$I:$I, datos!$B:$B, $A3, datos!$H:$H, "Cancelled")</f>
        <v>9394</v>
      </c>
    </row>
    <row r="4" spans="1:6" x14ac:dyDescent="0.25">
      <c r="A4" t="s">
        <v>22</v>
      </c>
      <c r="B4">
        <f>COUNTIF(datos!$B:$B,"GlobalAir")</f>
        <v>85</v>
      </c>
      <c r="D4" t="s">
        <v>22</v>
      </c>
      <c r="E4">
        <f>COUNTIFS(datos!$B:$B, $A4, datos!$H:$H, "Cancelled")</f>
        <v>3</v>
      </c>
      <c r="F4">
        <f>SUMIFS(datos!$I:$I, datos!$B:$B, $A4, datos!$H:$H, "Cancelled")</f>
        <v>8271</v>
      </c>
    </row>
    <row r="5" spans="1:6" x14ac:dyDescent="0.25">
      <c r="A5" t="s">
        <v>39</v>
      </c>
      <c r="B5">
        <f>COUNTIF(datos!$B:$B,"SkyJet")</f>
        <v>70</v>
      </c>
      <c r="D5" t="s">
        <v>39</v>
      </c>
      <c r="E5">
        <f>COUNTIFS(datos!$B:$B, $A5, datos!$H:$H, "Cancelled")</f>
        <v>4</v>
      </c>
      <c r="F5">
        <f>SUMIFS(datos!$I:$I, datos!$B:$B, $A5, datos!$H:$H, "Cancelled")</f>
        <v>16902</v>
      </c>
    </row>
    <row r="8" spans="1:6" x14ac:dyDescent="0.25">
      <c r="A8" t="s">
        <v>331</v>
      </c>
      <c r="B8" t="s">
        <v>332</v>
      </c>
      <c r="D8" t="s">
        <v>333</v>
      </c>
      <c r="E8" t="s">
        <v>335</v>
      </c>
    </row>
    <row r="9" spans="1:6" x14ac:dyDescent="0.25">
      <c r="A9" t="s">
        <v>11</v>
      </c>
      <c r="B9">
        <f>SUMIF(datos!$B$2:$B$301, $A2, datos!$I$2:$I$301)</f>
        <v>308450</v>
      </c>
      <c r="D9" t="str">
        <f>LOOKUP(MAX(datos!I:I),datos!I:I,datos!B:B)</f>
        <v>VivaFly</v>
      </c>
      <c r="E9">
        <f>MAX(datos!I:I)</f>
        <v>5995</v>
      </c>
    </row>
    <row r="10" spans="1:6" x14ac:dyDescent="0.25">
      <c r="A10" t="s">
        <v>17</v>
      </c>
      <c r="B10">
        <f>SUMIF(datos!$B$2:$B$301, $A3, datos!$I$2:$I$301)</f>
        <v>232913</v>
      </c>
      <c r="D10" t="s">
        <v>334</v>
      </c>
      <c r="E10" t="s">
        <v>335</v>
      </c>
    </row>
    <row r="11" spans="1:6" x14ac:dyDescent="0.25">
      <c r="A11" t="s">
        <v>22</v>
      </c>
      <c r="B11">
        <f>SUMIF(datos!$B$2:$B$301, $A4, datos!$I$2:$I$301)</f>
        <v>294848</v>
      </c>
      <c r="D11" t="str">
        <f>INDEX(datos!B:B, MATCH(MIN(datos!I:I), datos!I:I, 0))</f>
        <v>GlobalAir</v>
      </c>
      <c r="E11">
        <f>MIN(datos!I:I)</f>
        <v>1221</v>
      </c>
    </row>
    <row r="12" spans="1:6" x14ac:dyDescent="0.25">
      <c r="A12" t="s">
        <v>39</v>
      </c>
      <c r="B12">
        <f>SUMIF(datos!$B$2:$B$301, $A5, datos!$I$2:$I$301)</f>
        <v>245781</v>
      </c>
    </row>
  </sheetData>
  <pageMargins left="0.7" right="0.7" top="0.75" bottom="0.75" header="0.3" footer="0.3"/>
  <pageSetup paperSize="9" orientation="portrait" horizontalDpi="0" verticalDpi="0" r:id="rId1"/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datos</vt:lpstr>
      <vt:lpstr>Hoja2</vt:lpstr>
      <vt:lpstr>Hoja2!Área_de_extracción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Pavilion</dc:creator>
  <cp:lastModifiedBy>HP Pavilion</cp:lastModifiedBy>
  <dcterms:created xsi:type="dcterms:W3CDTF">2026-02-05T04:32:24Z</dcterms:created>
  <dcterms:modified xsi:type="dcterms:W3CDTF">2026-02-05T08:13:30Z</dcterms:modified>
</cp:coreProperties>
</file>